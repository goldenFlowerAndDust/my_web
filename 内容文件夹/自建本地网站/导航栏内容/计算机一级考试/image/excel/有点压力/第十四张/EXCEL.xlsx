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7520" windowHeight="7560" activeTab="1"/>
  </bookViews>
  <sheets>
    <sheet name="Sheet1" sheetId="1" r:id="rId1"/>
    <sheet name="按年统计" sheetId="6" r:id="rId2"/>
    <sheet name="按月统计" sheetId="7" r:id="rId3"/>
    <sheet name="销售清单" sheetId="8" r:id="rId4"/>
  </sheets>
  <definedNames>
    <definedName name="_xlnm._FilterDatabase" localSheetId="0" hidden="1">Sheet1!$A$1:$J$358</definedName>
  </definedNames>
  <calcPr calcId="14562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2" i="1"/>
  <c r="I58" i="8" l="1"/>
  <c r="G58" i="8"/>
  <c r="I57" i="8"/>
  <c r="G57" i="8"/>
  <c r="I56" i="8"/>
  <c r="G56" i="8"/>
  <c r="I55" i="8"/>
  <c r="G55" i="8"/>
  <c r="I54" i="8"/>
  <c r="G54" i="8"/>
  <c r="I53" i="8"/>
  <c r="G53" i="8"/>
  <c r="I52" i="8"/>
  <c r="G52" i="8"/>
  <c r="I51" i="8"/>
  <c r="G51" i="8"/>
  <c r="I50" i="8"/>
  <c r="G50" i="8"/>
  <c r="I49" i="8"/>
  <c r="G49" i="8"/>
  <c r="I48" i="8"/>
  <c r="G48" i="8"/>
  <c r="I47" i="8"/>
  <c r="G47" i="8"/>
  <c r="I46" i="8"/>
  <c r="G46" i="8"/>
  <c r="I45" i="8"/>
  <c r="G45" i="8"/>
  <c r="I44" i="8"/>
  <c r="G44" i="8"/>
  <c r="I43" i="8"/>
  <c r="G43" i="8"/>
  <c r="I42" i="8"/>
  <c r="G42" i="8"/>
  <c r="I41" i="8"/>
  <c r="G41" i="8"/>
  <c r="I40" i="8"/>
  <c r="G40" i="8"/>
  <c r="I39" i="8"/>
  <c r="G39" i="8"/>
  <c r="I38" i="8"/>
  <c r="G38" i="8"/>
  <c r="I37" i="8"/>
  <c r="G37" i="8"/>
  <c r="I36" i="8"/>
  <c r="G36" i="8"/>
  <c r="I35" i="8"/>
  <c r="G35" i="8"/>
  <c r="I34" i="8"/>
  <c r="G34" i="8"/>
  <c r="I33" i="8"/>
  <c r="G33" i="8"/>
  <c r="I32" i="8"/>
  <c r="G32" i="8"/>
  <c r="I31" i="8"/>
  <c r="G31" i="8"/>
  <c r="I30" i="8"/>
  <c r="G30" i="8"/>
  <c r="I29" i="8"/>
  <c r="G29" i="8"/>
  <c r="I28" i="8"/>
  <c r="G28" i="8"/>
  <c r="I27" i="8"/>
  <c r="G27" i="8"/>
  <c r="I26" i="8"/>
  <c r="G26" i="8"/>
  <c r="I25" i="8"/>
  <c r="G25" i="8"/>
  <c r="I24" i="8"/>
  <c r="G24" i="8"/>
  <c r="I23" i="8"/>
  <c r="G23" i="8"/>
  <c r="I22" i="8"/>
  <c r="G22" i="8"/>
  <c r="I21" i="8"/>
  <c r="G21" i="8"/>
  <c r="I20" i="8"/>
  <c r="G20" i="8"/>
  <c r="I19" i="8"/>
  <c r="G19" i="8"/>
  <c r="I18" i="8"/>
  <c r="G18" i="8"/>
  <c r="I17" i="8"/>
  <c r="G17" i="8"/>
  <c r="I16" i="8"/>
  <c r="G16" i="8"/>
  <c r="I15" i="8"/>
  <c r="G15" i="8"/>
  <c r="I14" i="8"/>
  <c r="G14" i="8"/>
  <c r="I13" i="8"/>
  <c r="G13" i="8"/>
  <c r="I12" i="8"/>
  <c r="G12" i="8"/>
  <c r="I11" i="8"/>
  <c r="G11" i="8"/>
  <c r="I10" i="8"/>
  <c r="G10" i="8"/>
  <c r="I9" i="8"/>
  <c r="G9" i="8"/>
  <c r="I8" i="8"/>
  <c r="G8" i="8"/>
  <c r="I7" i="8"/>
  <c r="G7" i="8"/>
  <c r="I6" i="8"/>
  <c r="G6" i="8"/>
  <c r="I5" i="8"/>
  <c r="G5" i="8"/>
  <c r="I4" i="8"/>
  <c r="G4" i="8"/>
  <c r="I3" i="8"/>
  <c r="G3" i="8"/>
  <c r="I2" i="8"/>
  <c r="G2" i="8"/>
</calcChain>
</file>

<file path=xl/sharedStrings.xml><?xml version="1.0" encoding="utf-8"?>
<sst xmlns="http://schemas.openxmlformats.org/spreadsheetml/2006/main" count="1685" uniqueCount="291">
  <si>
    <t>日期</t>
  </si>
  <si>
    <t>订单号</t>
  </si>
  <si>
    <t>区域</t>
  </si>
  <si>
    <t>门店</t>
  </si>
  <si>
    <t>品类</t>
  </si>
  <si>
    <t>商品</t>
  </si>
  <si>
    <t>收入</t>
  </si>
  <si>
    <t>数量</t>
  </si>
  <si>
    <t>销售单价</t>
  </si>
  <si>
    <t>成本</t>
  </si>
  <si>
    <t>神奇魔术裤架(不锈钢管)</t>
  </si>
  <si>
    <t>文体用品</t>
  </si>
  <si>
    <t>儿童飞镖靶</t>
  </si>
  <si>
    <t>山西</t>
  </si>
  <si>
    <t>铁西分店</t>
  </si>
  <si>
    <t>太平分店</t>
  </si>
  <si>
    <t>欧林樱花 日式两用厨房浴室多用挂</t>
  </si>
  <si>
    <t>卫浴清洁</t>
  </si>
  <si>
    <t>铁盒装可爱妞子笔记本/日记本三件套装[铁盒+日记本+圆</t>
  </si>
  <si>
    <t>简装爱心超强双面吸盘贴物器-黄色</t>
  </si>
  <si>
    <t>第三代爱情大力士牙刷套装/牛奶爸爸</t>
  </si>
  <si>
    <t>上海</t>
  </si>
  <si>
    <t>豫城时尚商场店</t>
  </si>
  <si>
    <t>雨伞</t>
  </si>
  <si>
    <t>FFXS时尚红酒伞(0%黑)</t>
  </si>
  <si>
    <t>万达店</t>
  </si>
  <si>
    <t>双庆双层角落架</t>
  </si>
  <si>
    <t>创意油漆滴落挂钩</t>
  </si>
  <si>
    <t>HELPME书签(三支)</t>
  </si>
  <si>
    <t>第七代好惠拖 免踩式手压脱水</t>
  </si>
  <si>
    <t>老顽童牌包边擦地拖鞋</t>
  </si>
  <si>
    <t>FFXS时尚红酒伞(梦境树白)</t>
  </si>
  <si>
    <t>日式家居竹炭靴撑</t>
  </si>
  <si>
    <t>手机周边</t>
  </si>
  <si>
    <t>方形测紫外线手机链</t>
  </si>
  <si>
    <t>发光玩具</t>
  </si>
  <si>
    <t>淮海店</t>
  </si>
  <si>
    <t>铜锣湾店</t>
  </si>
  <si>
    <t>钟表</t>
  </si>
  <si>
    <t>声声变声控七彩水晶万年历</t>
  </si>
  <si>
    <t>吸卡两只装洗衣球</t>
  </si>
  <si>
    <t>Z形鞋架</t>
  </si>
  <si>
    <t>TV热销第2代好神拖360度旋转拖把</t>
  </si>
  <si>
    <t>FFXS时尚红酒伞(叮当)</t>
  </si>
  <si>
    <t>FFXS时尚红酒伞(非诚勿扰粉)</t>
  </si>
  <si>
    <t>第二季爱情大力士牙刷架(潮女)</t>
  </si>
  <si>
    <t>创意梨子便签纸</t>
  </si>
  <si>
    <t>FFXS时尚红酒伞(HELLOKITTY)</t>
  </si>
  <si>
    <t>广东产高品质维尼熊七彩钟</t>
  </si>
  <si>
    <t>FFXS时尚红酒伞(0%蓝)</t>
  </si>
  <si>
    <t>牙签盒</t>
  </si>
  <si>
    <t>神奇伸缩带柄滴水筛/沥水筛</t>
  </si>
  <si>
    <t>马桶疏通器</t>
  </si>
  <si>
    <t>神奇会跑闹钟（黄色）</t>
  </si>
  <si>
    <t>FE764振兴40*60CM衣物护洗袋</t>
  </si>
  <si>
    <t>FFXS时尚红酒伞(牛牛开怀)</t>
  </si>
  <si>
    <t>药盒</t>
  </si>
  <si>
    <t>家庭保健药箱</t>
  </si>
  <si>
    <t>西瓜便签纸/便签本</t>
  </si>
  <si>
    <t>希福牌洗杯刷(大号)</t>
  </si>
  <si>
    <t xml:space="preserve">布艺家纺  </t>
  </si>
  <si>
    <t>爱情密码 情人/生日 12秒录音贺卡 笑脸蛋糕</t>
  </si>
  <si>
    <t>时尚耳环</t>
  </si>
  <si>
    <t>名族贵气闪光圆丝耳环</t>
  </si>
  <si>
    <t>新款日式整理鞋架</t>
  </si>
  <si>
    <t>钥匙扣</t>
  </si>
  <si>
    <t>八款动物钥匙扣伸缩笔SSB01</t>
  </si>
  <si>
    <t>纸巾抽</t>
  </si>
  <si>
    <t>ROCKY镶钻款手表</t>
  </si>
  <si>
    <t>心形加厚10吸盘多用防滑垫</t>
  </si>
  <si>
    <t>比赛专用12寸飞镖靶</t>
  </si>
  <si>
    <t>扇形磨砂滑盖式一格药盒</t>
  </si>
  <si>
    <t>圆点牛津布纸巾套/纸巾收纳盒（咖啡色）</t>
  </si>
  <si>
    <t>大号正方形发光幸运瓶/许愿瓶</t>
  </si>
  <si>
    <t>益智玩具</t>
  </si>
  <si>
    <t>立体时钟12音</t>
  </si>
  <si>
    <t>懒人虫专用清洁布(24片装)</t>
  </si>
  <si>
    <t>简约蓝色手表 时装手腕表</t>
  </si>
  <si>
    <t>新款一次性手套(150只装)</t>
  </si>
  <si>
    <t>滴水碗盆收纳架－白色</t>
  </si>
  <si>
    <t>FFXS时尚红酒伞(恋爱男女)</t>
  </si>
  <si>
    <t>韩国银蝴蝶 时尚耳环 彩钻金孔雀开屏</t>
  </si>
  <si>
    <t>FFXS时尚红酒伞(非诚勿扰白)</t>
  </si>
  <si>
    <t>FFXS时尚红酒伞(乱码也称涂鸦)</t>
  </si>
  <si>
    <t>14克纳米牙刷(四支装)517-4</t>
  </si>
  <si>
    <t>FFXS时尚红酒伞(非主流男孩)</t>
  </si>
  <si>
    <t>洛哈思超大双面吸盘-蓝色花朵</t>
  </si>
  <si>
    <t>双庆吸盘卫浴毛巾架</t>
  </si>
  <si>
    <t>绿叶皂盘</t>
  </si>
  <si>
    <t>TV购物植绒防滑衣架（颜色随机发）</t>
  </si>
  <si>
    <t>时尚东东熊钥匙扣包包挂件</t>
  </si>
  <si>
    <t>老版七彩变色心情闹钟</t>
  </si>
  <si>
    <t>韩版奶牛垃圾桶(粉色)</t>
  </si>
  <si>
    <t>浴室吸墙置物架3056</t>
  </si>
  <si>
    <t>多用途除尘吸毛刷（彩盒装）</t>
  </si>
  <si>
    <t>魅洁网络专供洁厕灵蓝泡泡-（OPP袋装）</t>
  </si>
  <si>
    <t>银蝴碟 薄枫叶闪光银色耳环</t>
  </si>
  <si>
    <t>信和多功能组合式大碗盘收纳架/整理棚（0601-2）</t>
  </si>
  <si>
    <t>真空强力吸壁马桶刷套装</t>
  </si>
  <si>
    <t>卡通木制彩绘两用书签/刻度尺</t>
  </si>
  <si>
    <t>振兴圆形晒架12头旋转式钩头</t>
  </si>
  <si>
    <t>活动式晒鞋架</t>
  </si>
  <si>
    <t>FFXS时尚红酒伞(时尚女人)</t>
  </si>
  <si>
    <t>复古式 香味四合一DIY相框便签座（红色）</t>
  </si>
  <si>
    <t>韩国热卖 超可爱表情橡皮（4个装））</t>
  </si>
  <si>
    <t>螺旋时尚韩版闪耀星辰耳环</t>
  </si>
  <si>
    <t>浪漫七彩许愿莲花灯</t>
  </si>
  <si>
    <t>优质去污柔软洗衣球（3只装）</t>
  </si>
  <si>
    <t>韩国银蝴蝶 时尚耳环 彩钻乌色孔雀开屏</t>
  </si>
  <si>
    <t>紫外线变色手链</t>
  </si>
  <si>
    <t>FFXS时尚红酒伞(天使)</t>
  </si>
  <si>
    <t>大力水手超大牙膏纸巾抽</t>
  </si>
  <si>
    <t>天使小人/天使之恋七彩小夜灯</t>
  </si>
  <si>
    <t>加厚多功能魔术衣架</t>
  </si>
  <si>
    <t>FFXS时尚红酒伞(粉红女郎)</t>
  </si>
  <si>
    <t>优质带支架印花文胸护洗袋</t>
  </si>
  <si>
    <t>FFXS时尚红酒伞(绿衣男人)</t>
  </si>
  <si>
    <t>大脚丫敲琴 脚丫子五音琴</t>
  </si>
  <si>
    <t>机灵兔牙签筒-蓝色</t>
  </si>
  <si>
    <t>好神/真神/好惠拖专用拖把头</t>
  </si>
  <si>
    <t>第三代爱情大力士牙刷套装/牛奶妹妹</t>
  </si>
  <si>
    <t>超薄圆盘细带进口机芯 女士手表</t>
  </si>
  <si>
    <t>大肚子先生笔插</t>
  </si>
  <si>
    <t>炫彩四面钟</t>
  </si>
  <si>
    <t>浪漫三合一蛋糕纸巾筒-老鼠</t>
  </si>
  <si>
    <t>一周药盒（盒装）</t>
  </si>
  <si>
    <t>FFXS时尚红酒伞(白苹果)</t>
  </si>
  <si>
    <t>维尼与小屋闹钟195A/196A</t>
  </si>
  <si>
    <t>FFXS时尚红酒伞(黑米奇)</t>
  </si>
  <si>
    <t>浪漫三合一蛋糕纸巾筒-礼带</t>
  </si>
  <si>
    <t>韩版创意牙膏纸巾抽（VS）</t>
  </si>
  <si>
    <t>双庆五位魔力吸墙牙刷架</t>
  </si>
  <si>
    <t>希福牌防水浴帽</t>
  </si>
  <si>
    <t>一次性鞋套(100只装)</t>
  </si>
  <si>
    <t xml:space="preserve">米老鼠米奇五音敲琴 </t>
  </si>
  <si>
    <t>高品质彩色旅行折叠衣架 两用衣架(5个装)</t>
  </si>
  <si>
    <t>浪漫满屋声控蜡烛灯(七彩)</t>
  </si>
  <si>
    <t>可爱瓢虫蘑菇点点钥匙套(4枚)</t>
  </si>
  <si>
    <t>FFXS时尚红酒伞(0%白)</t>
  </si>
  <si>
    <t>皱皮狗全身毛绒纸巾套/纸巾抽</t>
  </si>
  <si>
    <t>斑马立体八音琴 彩色琴</t>
  </si>
  <si>
    <t>甜甜圈百变枕垫</t>
  </si>
  <si>
    <t>进口机芯 韩版街头潮女手表</t>
  </si>
  <si>
    <t>半圆形滑盖磨砂双格药盒</t>
  </si>
  <si>
    <t>优质可拆卸双层晾衣篮</t>
  </si>
  <si>
    <t>FFXS时尚红酒伞(梦境树粉)</t>
  </si>
  <si>
    <t>滴水碗盆收纳架－粉色</t>
  </si>
  <si>
    <t>ROCKY款手表</t>
  </si>
  <si>
    <t>韩国小吃美食橡皮擦（6块）</t>
  </si>
  <si>
    <t>浪漫三合一蛋糕纸巾筒-天使</t>
  </si>
  <si>
    <t>FIYKL款手表</t>
  </si>
  <si>
    <t>希福牌洗杯刷(小号)</t>
  </si>
  <si>
    <t>FFXS时尚红酒伞(可爱Mao Mao)</t>
  </si>
  <si>
    <t>整蛊玩具</t>
  </si>
  <si>
    <t>疯狂的鸡蛋</t>
  </si>
  <si>
    <t>日本风味超大牙膏纸巾抽</t>
  </si>
  <si>
    <t>黑白桃花镶珠 流行韩版饰品</t>
  </si>
  <si>
    <t>FFXS时尚红酒伞(0%粉)</t>
  </si>
  <si>
    <t>手提青蛙八音琴</t>
  </si>
  <si>
    <t>金兴2394家庭保健多用中号药箱</t>
  </si>
  <si>
    <t>新款七彩南瓜小夜灯</t>
  </si>
  <si>
    <t>韩国潮人街女式手表</t>
  </si>
  <si>
    <t>幸福100%笑脸肥皂</t>
  </si>
  <si>
    <t>咖啡豆钥匙包</t>
  </si>
  <si>
    <t>自然声音乐吧焕彩球闹钟</t>
  </si>
  <si>
    <t>多用途不锈钢厨房置物架（5698）</t>
  </si>
  <si>
    <t>凯瑞专用压缩袋抽气泵</t>
  </si>
  <si>
    <t>时尚/潮流超炫黑色显大方 女表</t>
  </si>
  <si>
    <t>黑色章鱼纸巾抽</t>
  </si>
  <si>
    <t>幸福100%爱心香皂盒</t>
  </si>
  <si>
    <t>圆点牛津布纸巾套/纸巾收纳盒（黑色）</t>
  </si>
  <si>
    <t>强力银河老品牌 毛球修剪器 剃绒器</t>
  </si>
  <si>
    <t>FFXS时尚红酒伞(鸟语花香黑底红花)</t>
  </si>
  <si>
    <t>蒙娜丽莎超大牙膏纸巾抽</t>
  </si>
  <si>
    <t>新款酒壶魔术七彩水龙头流水灯(大号)</t>
  </si>
  <si>
    <t xml:space="preserve">阿童木八音琴 儿童玩具 </t>
  </si>
  <si>
    <t>节日贺呀 教师节情人节贺卡/创意立体贺卡/卡片</t>
  </si>
  <si>
    <t>韩国银蝴蝶 时尚耳环 彩钻银色孔雀开屏</t>
  </si>
  <si>
    <t>台灯纸巾筒--恋之吻(红)</t>
  </si>
  <si>
    <t>小精灵布艺纸巾抽（绿色）</t>
  </si>
  <si>
    <t>魅洁品质多功能无水清洁膏</t>
  </si>
  <si>
    <t>双庆多功能置物架（1895）</t>
  </si>
  <si>
    <t>台灯纸巾筒--心之乐章</t>
  </si>
  <si>
    <t>台灯纸巾筒--心之变幻</t>
  </si>
  <si>
    <t>FFXS时尚红酒伞(黑苹果)</t>
  </si>
  <si>
    <t>FFXS时尚红酒伞(鸟语花香白底银花)</t>
  </si>
  <si>
    <t>FFXS时尚红酒伞(0%黄)</t>
  </si>
  <si>
    <t>韩版吸盘式迷你搓衣板</t>
  </si>
  <si>
    <t>欧美热美情趣脱衣飞镖靶</t>
  </si>
  <si>
    <t>长方形超大双面吸盘-白色</t>
  </si>
  <si>
    <t xml:space="preserve">懒人拖鞋 </t>
  </si>
  <si>
    <t>魅洁正品洁厕灵（吸卡两枚装）</t>
  </si>
  <si>
    <t>FFXS时尚红酒伞(紫蕴百合)</t>
  </si>
  <si>
    <t>超可爱毛绒粉色圆桶形猪猪纸巾筒</t>
  </si>
  <si>
    <t>吸盘式立体MR.P挂钩</t>
  </si>
  <si>
    <t>正品铱星高清透明手机屏幕保护膜</t>
  </si>
  <si>
    <t>正版龙猫树桩方形纸巾套（带专利号）</t>
  </si>
  <si>
    <t>测紫外线变色化妆镜/手机链</t>
  </si>
  <si>
    <t>红色章鱼纸巾抽</t>
  </si>
  <si>
    <t>日式吸墙牙刷筒8819</t>
  </si>
  <si>
    <t>碎花防水洗衣机罩（B型）</t>
  </si>
  <si>
    <t>手指五音琴 卡通木敲琴</t>
  </si>
  <si>
    <t>振兴ZG267吸墙牙刷筒</t>
  </si>
  <si>
    <t>印花布艺衣架（5个）085</t>
  </si>
  <si>
    <t>河马抱抱吸墙多用座</t>
  </si>
  <si>
    <t>12寸安全磁性飞镖</t>
  </si>
  <si>
    <t>简装爱心超强双面吸盘贴物器-蓝色</t>
  </si>
  <si>
    <t>简装爱心超强双面吸盘贴物器-红色</t>
  </si>
  <si>
    <t>横竖两用厨房浴室多用挂－－送5个挂钩（546）</t>
  </si>
  <si>
    <t>银蝴碟 保色厚银叶型耳环</t>
  </si>
  <si>
    <t>好惠拖360度旋转拖把</t>
  </si>
  <si>
    <t>彩色一周药盒(简装)</t>
  </si>
  <si>
    <t>小小卡通家族自动牙刷架 款式随机 不指定</t>
  </si>
  <si>
    <t>O型便携式马桶垫/马桶圈/坐便垫柔软舒适抗菌</t>
  </si>
  <si>
    <t>GLUE超大牙膏纸巾抽</t>
  </si>
  <si>
    <t>机灵兔牙签筒-黑色</t>
  </si>
  <si>
    <t>机灵兔牙签筒-绿色</t>
  </si>
  <si>
    <t>复古式 香味四合一DIY相框便签座（黑色）</t>
  </si>
  <si>
    <t>除湿剂衣柜干燥剂补充包700ml</t>
  </si>
  <si>
    <t>品佳创意缩口布艺纸巾抽</t>
  </si>
  <si>
    <t>日韩流行 两色叶亮光耳环</t>
  </si>
  <si>
    <t>小精灵布艺纸巾抽（粉色）</t>
  </si>
  <si>
    <t>立体长颈鹿八音琴 儿童易智玩具</t>
  </si>
  <si>
    <t>花语淑女 女表</t>
  </si>
  <si>
    <t>爱心双面吸盘带挂钩</t>
  </si>
  <si>
    <t>小兔八音手敲琴 敲击玩具</t>
  </si>
  <si>
    <t>辽宁</t>
  </si>
  <si>
    <t>大西街店</t>
  </si>
  <si>
    <t>风靡日韩时尚测紫外线变色手机链</t>
  </si>
  <si>
    <t>魅洁新概念洁厕灵(柠檬清香)</t>
  </si>
  <si>
    <t>创意苹果便签纸</t>
  </si>
  <si>
    <t>14克竹炭牙刷(四支装)616-4</t>
  </si>
  <si>
    <t>MR.P套套表情牙签筒-哭脸</t>
  </si>
  <si>
    <t>新款七彩月亮小人灯</t>
  </si>
  <si>
    <t>复古式韩国大气耳环耳坠</t>
  </si>
  <si>
    <t>FFXS可乐罐纸巾抽(可乐罐红)</t>
  </si>
  <si>
    <t>FFXS时尚红酒伞(情侣-女)</t>
  </si>
  <si>
    <t>小精灵布艺纸巾抽（黄色）</t>
  </si>
  <si>
    <t>大号半透明炫彩一周药盒-橙色</t>
  </si>
  <si>
    <t>高档多用仿鹿皮巾(大号)</t>
  </si>
  <si>
    <t xml:space="preserve">创意游泳衣架 </t>
  </si>
  <si>
    <t>银色复古式韩国大气耳环耳坠</t>
  </si>
  <si>
    <t>机灵兔牙签筒-红色</t>
  </si>
  <si>
    <t>2011年最新 DIY墙贴画钟（重叠）</t>
  </si>
  <si>
    <t>小羊羊八音琴 八音琴拖车</t>
  </si>
  <si>
    <t>创意七彩心形小夜灯</t>
  </si>
  <si>
    <t>MR.P套套表情牙签筒-笑脸</t>
  </si>
  <si>
    <t>圆柱形卡通牙膏挤压器RB75</t>
  </si>
  <si>
    <t>毛利</t>
    <phoneticPr fontId="1" type="noConversion"/>
  </si>
  <si>
    <t>置物</t>
  </si>
  <si>
    <t>年份</t>
  </si>
  <si>
    <t>销售统计</t>
  </si>
  <si>
    <t>年份</t>
    <phoneticPr fontId="1" type="noConversion"/>
  </si>
  <si>
    <t>2016年</t>
    <phoneticPr fontId="1" type="noConversion"/>
  </si>
  <si>
    <t>2017年</t>
    <phoneticPr fontId="1" type="noConversion"/>
  </si>
  <si>
    <t>月份</t>
  </si>
  <si>
    <t>日期</t>
    <phoneticPr fontId="6" type="noConversion"/>
  </si>
  <si>
    <t>类别</t>
    <phoneticPr fontId="6" type="noConversion"/>
  </si>
  <si>
    <t>商品型号</t>
    <phoneticPr fontId="6" type="noConversion"/>
  </si>
  <si>
    <t>市场定价</t>
    <phoneticPr fontId="6" type="noConversion"/>
  </si>
  <si>
    <t>促销方式</t>
    <phoneticPr fontId="6" type="noConversion"/>
  </si>
  <si>
    <t>成交单价</t>
    <phoneticPr fontId="6" type="noConversion"/>
  </si>
  <si>
    <t>降价幅度</t>
    <phoneticPr fontId="6" type="noConversion"/>
  </si>
  <si>
    <t>数量</t>
    <phoneticPr fontId="6" type="noConversion"/>
  </si>
  <si>
    <t>销售额</t>
    <phoneticPr fontId="6" type="noConversion"/>
  </si>
  <si>
    <t>销售员</t>
    <phoneticPr fontId="6" type="noConversion"/>
  </si>
  <si>
    <t>冰箱</t>
    <phoneticPr fontId="6" type="noConversion"/>
  </si>
  <si>
    <t>海尔T1017</t>
    <phoneticPr fontId="6" type="noConversion"/>
  </si>
  <si>
    <t>降价</t>
    <phoneticPr fontId="6" type="noConversion"/>
  </si>
  <si>
    <t>A1</t>
  </si>
  <si>
    <t>彩电</t>
    <phoneticPr fontId="6" type="noConversion"/>
  </si>
  <si>
    <t>三星液晶169</t>
    <phoneticPr fontId="6" type="noConversion"/>
  </si>
  <si>
    <t>降价</t>
    <phoneticPr fontId="6" type="noConversion"/>
  </si>
  <si>
    <t>空调</t>
    <phoneticPr fontId="6" type="noConversion"/>
  </si>
  <si>
    <t>美的3110</t>
    <phoneticPr fontId="6" type="noConversion"/>
  </si>
  <si>
    <t>冰箱</t>
    <phoneticPr fontId="6" type="noConversion"/>
  </si>
  <si>
    <t>海尔T1017</t>
    <phoneticPr fontId="6" type="noConversion"/>
  </si>
  <si>
    <t>西门子610</t>
    <phoneticPr fontId="6" type="noConversion"/>
  </si>
  <si>
    <t>A2</t>
  </si>
  <si>
    <t>三星A108</t>
    <phoneticPr fontId="6" type="noConversion"/>
  </si>
  <si>
    <t>A3</t>
  </si>
  <si>
    <t>格力7650</t>
    <phoneticPr fontId="6" type="noConversion"/>
  </si>
  <si>
    <t>送大礼包</t>
    <phoneticPr fontId="6" type="noConversion"/>
  </si>
  <si>
    <t>长虹GDP60</t>
    <phoneticPr fontId="6" type="noConversion"/>
  </si>
  <si>
    <t>A4</t>
  </si>
  <si>
    <t>A5</t>
  </si>
  <si>
    <t>A6</t>
  </si>
  <si>
    <t>海尔KTP20P</t>
    <phoneticPr fontId="6" type="noConversion"/>
  </si>
  <si>
    <t>A7</t>
  </si>
  <si>
    <t>A8</t>
  </si>
  <si>
    <t>业绩表现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</si>
</sst>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7" fontId="5" fillId="3" borderId="0" xfId="0" applyNumberFormat="1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7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8"/>
  <sheetViews>
    <sheetView workbookViewId="0">
      <selection activeCell="L1" sqref="L1"/>
    </sheetView>
  </sheetViews>
  <sheetFormatPr defaultRowHeight="13.5" x14ac:dyDescent="0.15"/>
  <cols>
    <col min="1" max="1" width="11.625" bestFit="1" customWidth="1"/>
    <col min="3" max="3" width="22.5" customWidth="1"/>
    <col min="4" max="4" width="7.375" customWidth="1"/>
    <col min="5" max="5" width="12.5" customWidth="1"/>
    <col min="6" max="6" width="13.75" customWidth="1"/>
    <col min="9" max="9" width="13.75" customWidth="1"/>
  </cols>
  <sheetData>
    <row r="1" spans="1:12" x14ac:dyDescent="0.1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248</v>
      </c>
      <c r="L1" t="s">
        <v>290</v>
      </c>
    </row>
    <row r="2" spans="1:12" x14ac:dyDescent="0.15">
      <c r="A2" s="1">
        <v>42891</v>
      </c>
      <c r="B2">
        <v>103046</v>
      </c>
      <c r="C2" t="s">
        <v>51</v>
      </c>
      <c r="D2" t="s">
        <v>226</v>
      </c>
      <c r="E2" t="s">
        <v>227</v>
      </c>
      <c r="F2" t="s">
        <v>249</v>
      </c>
      <c r="G2">
        <f>H2*I2</f>
        <v>175.23</v>
      </c>
      <c r="H2">
        <v>3</v>
      </c>
      <c r="I2">
        <v>58.41</v>
      </c>
      <c r="J2">
        <v>88</v>
      </c>
      <c r="K2">
        <v>87.22999999999999</v>
      </c>
    </row>
    <row r="3" spans="1:12" x14ac:dyDescent="0.15">
      <c r="A3" s="1">
        <v>42984</v>
      </c>
      <c r="B3">
        <v>103544</v>
      </c>
      <c r="C3" t="s">
        <v>64</v>
      </c>
      <c r="D3" t="s">
        <v>226</v>
      </c>
      <c r="E3" t="s">
        <v>227</v>
      </c>
      <c r="F3" t="s">
        <v>249</v>
      </c>
      <c r="G3">
        <f t="shared" ref="G3:G66" si="0">H3*I3</f>
        <v>203.48</v>
      </c>
      <c r="H3">
        <v>4</v>
      </c>
      <c r="I3">
        <v>50.87</v>
      </c>
      <c r="J3">
        <v>100</v>
      </c>
      <c r="K3">
        <v>103.47999999999999</v>
      </c>
    </row>
    <row r="4" spans="1:12" x14ac:dyDescent="0.15">
      <c r="A4" s="1">
        <v>42914</v>
      </c>
      <c r="B4">
        <v>103216</v>
      </c>
      <c r="C4" t="s">
        <v>237</v>
      </c>
      <c r="D4" t="s">
        <v>226</v>
      </c>
      <c r="E4" t="s">
        <v>227</v>
      </c>
      <c r="F4" t="s">
        <v>67</v>
      </c>
      <c r="G4">
        <f t="shared" si="0"/>
        <v>197</v>
      </c>
      <c r="H4">
        <v>10</v>
      </c>
      <c r="I4">
        <v>19.7</v>
      </c>
      <c r="J4">
        <v>98</v>
      </c>
      <c r="K4">
        <v>99</v>
      </c>
    </row>
    <row r="5" spans="1:12" x14ac:dyDescent="0.15">
      <c r="A5" s="1">
        <v>43038</v>
      </c>
      <c r="B5">
        <v>102960</v>
      </c>
      <c r="C5" t="s">
        <v>185</v>
      </c>
      <c r="D5" t="s">
        <v>226</v>
      </c>
      <c r="E5" t="s">
        <v>227</v>
      </c>
      <c r="F5" t="s">
        <v>23</v>
      </c>
      <c r="G5">
        <f t="shared" si="0"/>
        <v>61.31</v>
      </c>
      <c r="H5">
        <v>1</v>
      </c>
      <c r="I5">
        <v>61.31</v>
      </c>
      <c r="J5">
        <v>30</v>
      </c>
      <c r="K5">
        <v>31.310000000000002</v>
      </c>
    </row>
    <row r="6" spans="1:12" x14ac:dyDescent="0.15">
      <c r="A6" s="1">
        <v>42979</v>
      </c>
      <c r="B6">
        <v>102690</v>
      </c>
      <c r="C6" t="s">
        <v>75</v>
      </c>
      <c r="D6" t="s">
        <v>226</v>
      </c>
      <c r="E6" t="s">
        <v>227</v>
      </c>
      <c r="F6" t="s">
        <v>74</v>
      </c>
      <c r="G6">
        <f t="shared" si="0"/>
        <v>37.1</v>
      </c>
      <c r="H6">
        <v>1</v>
      </c>
      <c r="I6">
        <v>37.1</v>
      </c>
      <c r="J6">
        <v>19</v>
      </c>
      <c r="K6">
        <v>18.100000000000001</v>
      </c>
    </row>
    <row r="7" spans="1:12" x14ac:dyDescent="0.15">
      <c r="A7" s="1">
        <v>42845</v>
      </c>
      <c r="B7">
        <v>103328</v>
      </c>
      <c r="C7" t="s">
        <v>117</v>
      </c>
      <c r="D7" t="s">
        <v>226</v>
      </c>
      <c r="E7" t="s">
        <v>227</v>
      </c>
      <c r="F7" t="s">
        <v>74</v>
      </c>
      <c r="G7">
        <f t="shared" si="0"/>
        <v>38.979999999999997</v>
      </c>
      <c r="H7">
        <v>1</v>
      </c>
      <c r="I7">
        <v>38.979999999999997</v>
      </c>
      <c r="J7">
        <v>19</v>
      </c>
      <c r="K7">
        <v>19.979999999999997</v>
      </c>
    </row>
    <row r="8" spans="1:12" x14ac:dyDescent="0.15">
      <c r="A8" s="1">
        <v>42754</v>
      </c>
      <c r="B8">
        <v>103618</v>
      </c>
      <c r="C8" t="s">
        <v>232</v>
      </c>
      <c r="D8" t="s">
        <v>226</v>
      </c>
      <c r="E8" t="s">
        <v>227</v>
      </c>
      <c r="F8" t="s">
        <v>50</v>
      </c>
      <c r="G8">
        <f t="shared" si="0"/>
        <v>194.56</v>
      </c>
      <c r="H8">
        <v>8</v>
      </c>
      <c r="I8">
        <v>24.32</v>
      </c>
      <c r="J8">
        <v>97</v>
      </c>
      <c r="K8">
        <v>97.56</v>
      </c>
    </row>
    <row r="9" spans="1:12" x14ac:dyDescent="0.15">
      <c r="A9" s="1">
        <v>42952</v>
      </c>
      <c r="B9">
        <v>103244</v>
      </c>
      <c r="C9" t="s">
        <v>171</v>
      </c>
      <c r="D9" t="s">
        <v>226</v>
      </c>
      <c r="E9" t="s">
        <v>227</v>
      </c>
      <c r="F9" t="s">
        <v>17</v>
      </c>
      <c r="G9">
        <f t="shared" si="0"/>
        <v>98.16</v>
      </c>
      <c r="H9">
        <v>2</v>
      </c>
      <c r="I9">
        <v>49.08</v>
      </c>
      <c r="J9">
        <v>49</v>
      </c>
      <c r="K9">
        <v>49.16</v>
      </c>
    </row>
    <row r="10" spans="1:12" x14ac:dyDescent="0.15">
      <c r="A10" s="1">
        <v>42877</v>
      </c>
      <c r="B10">
        <v>103263</v>
      </c>
      <c r="C10" t="s">
        <v>189</v>
      </c>
      <c r="D10" t="s">
        <v>226</v>
      </c>
      <c r="E10" t="s">
        <v>227</v>
      </c>
      <c r="F10" t="s">
        <v>17</v>
      </c>
      <c r="G10">
        <f t="shared" si="0"/>
        <v>44.32</v>
      </c>
      <c r="H10">
        <v>8</v>
      </c>
      <c r="I10">
        <v>5.54</v>
      </c>
      <c r="J10">
        <v>22</v>
      </c>
      <c r="K10">
        <v>22.32</v>
      </c>
    </row>
    <row r="11" spans="1:12" x14ac:dyDescent="0.15">
      <c r="A11" s="1">
        <v>42926</v>
      </c>
      <c r="B11">
        <v>103358</v>
      </c>
      <c r="C11" t="s">
        <v>78</v>
      </c>
      <c r="D11" t="s">
        <v>226</v>
      </c>
      <c r="E11" t="s">
        <v>227</v>
      </c>
      <c r="F11" t="s">
        <v>17</v>
      </c>
      <c r="G11">
        <f t="shared" si="0"/>
        <v>156</v>
      </c>
      <c r="H11">
        <v>2</v>
      </c>
      <c r="I11">
        <v>78</v>
      </c>
      <c r="J11">
        <v>78</v>
      </c>
      <c r="K11">
        <v>78</v>
      </c>
    </row>
    <row r="12" spans="1:12" x14ac:dyDescent="0.15">
      <c r="A12" s="1">
        <v>43069</v>
      </c>
      <c r="B12">
        <v>103401</v>
      </c>
      <c r="C12" t="s">
        <v>119</v>
      </c>
      <c r="D12" t="s">
        <v>226</v>
      </c>
      <c r="E12" t="s">
        <v>227</v>
      </c>
      <c r="F12" t="s">
        <v>17</v>
      </c>
      <c r="G12">
        <f t="shared" si="0"/>
        <v>172.10000000000002</v>
      </c>
      <c r="H12">
        <v>10</v>
      </c>
      <c r="I12">
        <v>17.21</v>
      </c>
      <c r="J12">
        <v>86</v>
      </c>
      <c r="K12">
        <v>86.100000000000023</v>
      </c>
    </row>
    <row r="13" spans="1:12" x14ac:dyDescent="0.15">
      <c r="A13" s="1">
        <v>42752</v>
      </c>
      <c r="B13">
        <v>103545</v>
      </c>
      <c r="C13" t="s">
        <v>19</v>
      </c>
      <c r="D13" t="s">
        <v>226</v>
      </c>
      <c r="E13" t="s">
        <v>227</v>
      </c>
      <c r="F13" t="s">
        <v>17</v>
      </c>
      <c r="G13">
        <f t="shared" si="0"/>
        <v>380.94</v>
      </c>
      <c r="H13">
        <v>6</v>
      </c>
      <c r="I13">
        <v>63.49</v>
      </c>
      <c r="J13">
        <v>190</v>
      </c>
      <c r="K13">
        <v>190.94</v>
      </c>
    </row>
    <row r="14" spans="1:12" x14ac:dyDescent="0.15">
      <c r="A14" s="1">
        <v>43036</v>
      </c>
      <c r="B14">
        <v>102654</v>
      </c>
      <c r="C14" t="s">
        <v>34</v>
      </c>
      <c r="D14" t="s">
        <v>226</v>
      </c>
      <c r="E14" t="s">
        <v>227</v>
      </c>
      <c r="F14" t="s">
        <v>33</v>
      </c>
      <c r="G14">
        <f t="shared" si="0"/>
        <v>166.96</v>
      </c>
      <c r="H14">
        <v>8</v>
      </c>
      <c r="I14">
        <v>20.87</v>
      </c>
      <c r="J14">
        <v>83</v>
      </c>
      <c r="K14">
        <v>83.960000000000008</v>
      </c>
    </row>
    <row r="15" spans="1:12" x14ac:dyDescent="0.15">
      <c r="A15" s="1">
        <v>42932</v>
      </c>
      <c r="B15">
        <v>102746</v>
      </c>
      <c r="C15" t="s">
        <v>233</v>
      </c>
      <c r="D15" t="s">
        <v>226</v>
      </c>
      <c r="E15" t="s">
        <v>227</v>
      </c>
      <c r="F15" t="s">
        <v>35</v>
      </c>
      <c r="G15">
        <f t="shared" si="0"/>
        <v>868.41</v>
      </c>
      <c r="H15">
        <v>9</v>
      </c>
      <c r="I15">
        <v>96.49</v>
      </c>
      <c r="J15">
        <v>434</v>
      </c>
      <c r="K15">
        <v>434.40999999999997</v>
      </c>
    </row>
    <row r="16" spans="1:12" x14ac:dyDescent="0.15">
      <c r="A16" s="1">
        <v>43053</v>
      </c>
      <c r="B16">
        <v>103499</v>
      </c>
      <c r="C16" t="s">
        <v>136</v>
      </c>
      <c r="D16" t="s">
        <v>226</v>
      </c>
      <c r="E16" t="s">
        <v>227</v>
      </c>
      <c r="F16" t="s">
        <v>35</v>
      </c>
      <c r="G16">
        <f t="shared" si="0"/>
        <v>163.6</v>
      </c>
      <c r="H16">
        <v>8</v>
      </c>
      <c r="I16">
        <v>20.45</v>
      </c>
      <c r="J16">
        <v>81</v>
      </c>
      <c r="K16">
        <v>82.6</v>
      </c>
    </row>
    <row r="17" spans="1:11" x14ac:dyDescent="0.15">
      <c r="A17" s="1">
        <v>42679</v>
      </c>
      <c r="B17">
        <v>100186</v>
      </c>
      <c r="C17" t="s">
        <v>68</v>
      </c>
      <c r="D17" t="s">
        <v>13</v>
      </c>
      <c r="E17" t="s">
        <v>14</v>
      </c>
      <c r="F17" t="s">
        <v>38</v>
      </c>
      <c r="G17">
        <f t="shared" si="0"/>
        <v>447.95000000000005</v>
      </c>
      <c r="H17">
        <v>5</v>
      </c>
      <c r="I17">
        <v>89.59</v>
      </c>
      <c r="J17">
        <v>223</v>
      </c>
      <c r="K17">
        <v>224.95000000000005</v>
      </c>
    </row>
    <row r="18" spans="1:11" x14ac:dyDescent="0.15">
      <c r="A18" s="1">
        <v>42486</v>
      </c>
      <c r="B18">
        <v>100507</v>
      </c>
      <c r="C18" t="s">
        <v>123</v>
      </c>
      <c r="D18" t="s">
        <v>13</v>
      </c>
      <c r="E18" t="s">
        <v>15</v>
      </c>
      <c r="F18" t="s">
        <v>38</v>
      </c>
      <c r="G18">
        <f t="shared" si="0"/>
        <v>52.9</v>
      </c>
      <c r="H18">
        <v>2</v>
      </c>
      <c r="I18">
        <v>26.45</v>
      </c>
      <c r="J18">
        <v>26</v>
      </c>
      <c r="K18">
        <v>26.9</v>
      </c>
    </row>
    <row r="19" spans="1:11" x14ac:dyDescent="0.15">
      <c r="A19" s="1">
        <v>42753</v>
      </c>
      <c r="B19">
        <v>102751</v>
      </c>
      <c r="C19" t="s">
        <v>243</v>
      </c>
      <c r="D19" t="s">
        <v>13</v>
      </c>
      <c r="E19" t="s">
        <v>14</v>
      </c>
      <c r="F19" t="s">
        <v>38</v>
      </c>
      <c r="G19">
        <f t="shared" si="0"/>
        <v>19.54</v>
      </c>
      <c r="H19">
        <v>1</v>
      </c>
      <c r="I19">
        <v>19.54</v>
      </c>
      <c r="J19">
        <v>9</v>
      </c>
      <c r="K19">
        <v>10.54</v>
      </c>
    </row>
    <row r="20" spans="1:11" x14ac:dyDescent="0.15">
      <c r="A20" s="1">
        <v>42765</v>
      </c>
      <c r="B20">
        <v>102818</v>
      </c>
      <c r="C20" t="s">
        <v>164</v>
      </c>
      <c r="D20" t="s">
        <v>13</v>
      </c>
      <c r="E20" t="s">
        <v>15</v>
      </c>
      <c r="F20" t="s">
        <v>38</v>
      </c>
      <c r="G20">
        <f t="shared" si="0"/>
        <v>215.44</v>
      </c>
      <c r="H20">
        <v>4</v>
      </c>
      <c r="I20">
        <v>53.86</v>
      </c>
      <c r="J20">
        <v>107</v>
      </c>
      <c r="K20">
        <v>108.44</v>
      </c>
    </row>
    <row r="21" spans="1:11" x14ac:dyDescent="0.15">
      <c r="A21" s="1">
        <v>43052</v>
      </c>
      <c r="B21">
        <v>103008</v>
      </c>
      <c r="C21" t="s">
        <v>150</v>
      </c>
      <c r="D21" t="s">
        <v>13</v>
      </c>
      <c r="E21" t="s">
        <v>37</v>
      </c>
      <c r="F21" t="s">
        <v>38</v>
      </c>
      <c r="G21">
        <f t="shared" si="0"/>
        <v>65.900000000000006</v>
      </c>
      <c r="H21">
        <v>5</v>
      </c>
      <c r="I21">
        <v>13.18</v>
      </c>
      <c r="J21">
        <v>32</v>
      </c>
      <c r="K21">
        <v>33.900000000000006</v>
      </c>
    </row>
    <row r="22" spans="1:11" x14ac:dyDescent="0.15">
      <c r="A22" s="1">
        <v>42782</v>
      </c>
      <c r="B22">
        <v>103055</v>
      </c>
      <c r="C22" t="s">
        <v>164</v>
      </c>
      <c r="D22" t="s">
        <v>13</v>
      </c>
      <c r="E22" t="s">
        <v>37</v>
      </c>
      <c r="F22" t="s">
        <v>38</v>
      </c>
      <c r="G22">
        <f t="shared" si="0"/>
        <v>253.19</v>
      </c>
      <c r="H22">
        <v>7</v>
      </c>
      <c r="I22">
        <v>36.17</v>
      </c>
      <c r="J22">
        <v>126</v>
      </c>
      <c r="K22">
        <v>127.19</v>
      </c>
    </row>
    <row r="23" spans="1:11" x14ac:dyDescent="0.15">
      <c r="A23" s="1">
        <v>42965</v>
      </c>
      <c r="B23">
        <v>103094</v>
      </c>
      <c r="C23" t="s">
        <v>142</v>
      </c>
      <c r="D23" t="s">
        <v>13</v>
      </c>
      <c r="E23" t="s">
        <v>15</v>
      </c>
      <c r="F23" t="s">
        <v>38</v>
      </c>
      <c r="G23">
        <f t="shared" si="0"/>
        <v>37.35</v>
      </c>
      <c r="H23">
        <v>5</v>
      </c>
      <c r="I23">
        <v>7.47</v>
      </c>
      <c r="J23">
        <v>18</v>
      </c>
      <c r="K23">
        <v>19.350000000000001</v>
      </c>
    </row>
    <row r="24" spans="1:11" x14ac:dyDescent="0.15">
      <c r="A24" s="1">
        <v>42956</v>
      </c>
      <c r="B24">
        <v>103603</v>
      </c>
      <c r="C24" t="s">
        <v>161</v>
      </c>
      <c r="D24" t="s">
        <v>13</v>
      </c>
      <c r="E24" t="s">
        <v>15</v>
      </c>
      <c r="F24" t="s">
        <v>38</v>
      </c>
      <c r="G24">
        <f t="shared" si="0"/>
        <v>368.32</v>
      </c>
      <c r="H24">
        <v>8</v>
      </c>
      <c r="I24">
        <v>46.04</v>
      </c>
      <c r="J24">
        <v>184</v>
      </c>
      <c r="K24">
        <v>184.32</v>
      </c>
    </row>
    <row r="25" spans="1:11" x14ac:dyDescent="0.15">
      <c r="A25" s="1">
        <v>42528</v>
      </c>
      <c r="B25">
        <v>100052</v>
      </c>
      <c r="C25" t="s">
        <v>41</v>
      </c>
      <c r="D25" t="s">
        <v>13</v>
      </c>
      <c r="E25" t="s">
        <v>14</v>
      </c>
      <c r="F25" t="s">
        <v>249</v>
      </c>
      <c r="G25">
        <f t="shared" si="0"/>
        <v>351.28</v>
      </c>
      <c r="H25">
        <v>8</v>
      </c>
      <c r="I25">
        <v>43.91</v>
      </c>
      <c r="J25">
        <v>175</v>
      </c>
      <c r="K25">
        <v>176.27999999999997</v>
      </c>
    </row>
    <row r="26" spans="1:11" x14ac:dyDescent="0.15">
      <c r="A26" s="1">
        <v>42703</v>
      </c>
      <c r="B26">
        <v>100193</v>
      </c>
      <c r="C26" t="s">
        <v>97</v>
      </c>
      <c r="D26" t="s">
        <v>13</v>
      </c>
      <c r="E26" t="s">
        <v>14</v>
      </c>
      <c r="F26" t="s">
        <v>249</v>
      </c>
      <c r="G26">
        <f t="shared" si="0"/>
        <v>241.70999999999998</v>
      </c>
      <c r="H26">
        <v>3</v>
      </c>
      <c r="I26">
        <v>80.569999999999993</v>
      </c>
      <c r="J26">
        <v>120</v>
      </c>
      <c r="K26">
        <v>121.70999999999998</v>
      </c>
    </row>
    <row r="27" spans="1:11" x14ac:dyDescent="0.15">
      <c r="A27" s="1">
        <v>42556</v>
      </c>
      <c r="B27">
        <v>100259</v>
      </c>
      <c r="C27" t="s">
        <v>27</v>
      </c>
      <c r="D27" t="s">
        <v>13</v>
      </c>
      <c r="E27" t="s">
        <v>15</v>
      </c>
      <c r="F27" t="s">
        <v>249</v>
      </c>
      <c r="G27">
        <f t="shared" si="0"/>
        <v>181.5</v>
      </c>
      <c r="H27">
        <v>6</v>
      </c>
      <c r="I27">
        <v>30.25</v>
      </c>
      <c r="J27">
        <v>90</v>
      </c>
      <c r="K27">
        <v>91.5</v>
      </c>
    </row>
    <row r="28" spans="1:11" x14ac:dyDescent="0.15">
      <c r="A28" s="1">
        <v>42411</v>
      </c>
      <c r="B28">
        <v>100351</v>
      </c>
      <c r="C28" t="s">
        <v>135</v>
      </c>
      <c r="D28" t="s">
        <v>13</v>
      </c>
      <c r="E28" t="s">
        <v>14</v>
      </c>
      <c r="F28" t="s">
        <v>249</v>
      </c>
      <c r="G28">
        <f t="shared" si="0"/>
        <v>3.12</v>
      </c>
      <c r="H28">
        <v>8</v>
      </c>
      <c r="I28">
        <v>0.39</v>
      </c>
      <c r="J28">
        <v>1</v>
      </c>
      <c r="K28">
        <v>2.12</v>
      </c>
    </row>
    <row r="29" spans="1:11" x14ac:dyDescent="0.15">
      <c r="A29" s="1">
        <v>42418</v>
      </c>
      <c r="B29">
        <v>100510</v>
      </c>
      <c r="C29" t="s">
        <v>97</v>
      </c>
      <c r="D29" t="s">
        <v>13</v>
      </c>
      <c r="E29" t="s">
        <v>14</v>
      </c>
      <c r="F29" t="s">
        <v>249</v>
      </c>
      <c r="G29">
        <f t="shared" si="0"/>
        <v>419.93</v>
      </c>
      <c r="H29">
        <v>7</v>
      </c>
      <c r="I29">
        <v>59.99</v>
      </c>
      <c r="J29">
        <v>209</v>
      </c>
      <c r="K29">
        <v>210.93</v>
      </c>
    </row>
    <row r="30" spans="1:11" x14ac:dyDescent="0.15">
      <c r="A30" s="1">
        <v>43002</v>
      </c>
      <c r="B30">
        <v>102664</v>
      </c>
      <c r="C30" t="s">
        <v>10</v>
      </c>
      <c r="D30" t="s">
        <v>13</v>
      </c>
      <c r="E30" t="s">
        <v>14</v>
      </c>
      <c r="F30" t="s">
        <v>249</v>
      </c>
      <c r="G30">
        <f t="shared" si="0"/>
        <v>308.29999999999995</v>
      </c>
      <c r="H30">
        <v>5</v>
      </c>
      <c r="I30">
        <v>61.66</v>
      </c>
      <c r="J30">
        <v>154</v>
      </c>
      <c r="K30">
        <v>154.29999999999995</v>
      </c>
    </row>
    <row r="31" spans="1:11" x14ac:dyDescent="0.15">
      <c r="A31" s="1">
        <v>43034</v>
      </c>
      <c r="B31">
        <v>102732</v>
      </c>
      <c r="C31" t="s">
        <v>181</v>
      </c>
      <c r="D31" t="s">
        <v>13</v>
      </c>
      <c r="E31" t="s">
        <v>37</v>
      </c>
      <c r="F31" t="s">
        <v>249</v>
      </c>
      <c r="G31">
        <f t="shared" si="0"/>
        <v>20.96</v>
      </c>
      <c r="H31">
        <v>4</v>
      </c>
      <c r="I31">
        <v>5.24</v>
      </c>
      <c r="J31">
        <v>10</v>
      </c>
      <c r="K31">
        <v>10.96</v>
      </c>
    </row>
    <row r="32" spans="1:11" x14ac:dyDescent="0.15">
      <c r="A32" s="1">
        <v>42828</v>
      </c>
      <c r="B32">
        <v>102800</v>
      </c>
      <c r="C32" t="s">
        <v>97</v>
      </c>
      <c r="D32" t="s">
        <v>13</v>
      </c>
      <c r="E32" t="s">
        <v>14</v>
      </c>
      <c r="F32" t="s">
        <v>249</v>
      </c>
      <c r="G32">
        <f t="shared" si="0"/>
        <v>712.2</v>
      </c>
      <c r="H32">
        <v>10</v>
      </c>
      <c r="I32">
        <v>71.22</v>
      </c>
      <c r="J32">
        <v>356</v>
      </c>
      <c r="K32">
        <v>356.20000000000005</v>
      </c>
    </row>
    <row r="33" spans="1:11" x14ac:dyDescent="0.15">
      <c r="A33" s="1">
        <v>42893</v>
      </c>
      <c r="B33">
        <v>102952</v>
      </c>
      <c r="C33" t="s">
        <v>79</v>
      </c>
      <c r="D33" t="s">
        <v>13</v>
      </c>
      <c r="E33" t="s">
        <v>14</v>
      </c>
      <c r="F33" t="s">
        <v>249</v>
      </c>
      <c r="G33">
        <f t="shared" si="0"/>
        <v>163.17000000000002</v>
      </c>
      <c r="H33">
        <v>3</v>
      </c>
      <c r="I33">
        <v>54.39</v>
      </c>
      <c r="J33">
        <v>81</v>
      </c>
      <c r="K33">
        <v>82.170000000000016</v>
      </c>
    </row>
    <row r="34" spans="1:11" x14ac:dyDescent="0.15">
      <c r="A34" s="1">
        <v>43039</v>
      </c>
      <c r="B34">
        <v>102981</v>
      </c>
      <c r="C34" t="s">
        <v>100</v>
      </c>
      <c r="D34" t="s">
        <v>13</v>
      </c>
      <c r="E34" t="s">
        <v>15</v>
      </c>
      <c r="F34" t="s">
        <v>249</v>
      </c>
      <c r="G34">
        <f t="shared" si="0"/>
        <v>11.61</v>
      </c>
      <c r="H34">
        <v>1</v>
      </c>
      <c r="I34">
        <v>11.61</v>
      </c>
      <c r="J34">
        <v>5</v>
      </c>
      <c r="K34">
        <v>6.6099999999999994</v>
      </c>
    </row>
    <row r="35" spans="1:11" x14ac:dyDescent="0.15">
      <c r="A35" s="1">
        <v>42804</v>
      </c>
      <c r="B35">
        <v>103012</v>
      </c>
      <c r="C35" t="s">
        <v>92</v>
      </c>
      <c r="D35" t="s">
        <v>13</v>
      </c>
      <c r="E35" t="s">
        <v>14</v>
      </c>
      <c r="F35" t="s">
        <v>249</v>
      </c>
      <c r="G35">
        <f t="shared" si="0"/>
        <v>69.12</v>
      </c>
      <c r="H35">
        <v>3</v>
      </c>
      <c r="I35">
        <v>23.04</v>
      </c>
      <c r="J35">
        <v>34</v>
      </c>
      <c r="K35">
        <v>35.120000000000005</v>
      </c>
    </row>
    <row r="36" spans="1:11" x14ac:dyDescent="0.15">
      <c r="A36" s="1">
        <v>42862</v>
      </c>
      <c r="B36">
        <v>103076</v>
      </c>
      <c r="C36" t="s">
        <v>87</v>
      </c>
      <c r="D36" t="s">
        <v>13</v>
      </c>
      <c r="E36" t="s">
        <v>15</v>
      </c>
      <c r="F36" t="s">
        <v>249</v>
      </c>
      <c r="G36">
        <f t="shared" si="0"/>
        <v>284.40000000000003</v>
      </c>
      <c r="H36">
        <v>10</v>
      </c>
      <c r="I36">
        <v>28.44</v>
      </c>
      <c r="J36">
        <v>142</v>
      </c>
      <c r="K36">
        <v>142.40000000000003</v>
      </c>
    </row>
    <row r="37" spans="1:11" x14ac:dyDescent="0.15">
      <c r="A37" s="1">
        <v>42845</v>
      </c>
      <c r="B37">
        <v>103221</v>
      </c>
      <c r="C37" t="s">
        <v>169</v>
      </c>
      <c r="D37" t="s">
        <v>13</v>
      </c>
      <c r="E37" t="s">
        <v>14</v>
      </c>
      <c r="F37" t="s">
        <v>249</v>
      </c>
      <c r="G37">
        <f t="shared" si="0"/>
        <v>338.48</v>
      </c>
      <c r="H37">
        <v>8</v>
      </c>
      <c r="I37">
        <v>42.31</v>
      </c>
      <c r="J37">
        <v>169</v>
      </c>
      <c r="K37">
        <v>169.48000000000002</v>
      </c>
    </row>
    <row r="38" spans="1:11" x14ac:dyDescent="0.15">
      <c r="A38" s="1">
        <v>42866</v>
      </c>
      <c r="B38">
        <v>103245</v>
      </c>
      <c r="C38" t="s">
        <v>26</v>
      </c>
      <c r="D38" t="s">
        <v>13</v>
      </c>
      <c r="E38" t="s">
        <v>37</v>
      </c>
      <c r="F38" t="s">
        <v>249</v>
      </c>
      <c r="G38">
        <f t="shared" si="0"/>
        <v>49.92</v>
      </c>
      <c r="H38">
        <v>1</v>
      </c>
      <c r="I38">
        <v>49.92</v>
      </c>
      <c r="J38">
        <v>24</v>
      </c>
      <c r="K38">
        <v>25.92</v>
      </c>
    </row>
    <row r="39" spans="1:11" x14ac:dyDescent="0.15">
      <c r="A39" s="1">
        <v>42771</v>
      </c>
      <c r="B39">
        <v>103308</v>
      </c>
      <c r="C39" t="s">
        <v>165</v>
      </c>
      <c r="D39" t="s">
        <v>13</v>
      </c>
      <c r="E39" t="s">
        <v>15</v>
      </c>
      <c r="F39" t="s">
        <v>249</v>
      </c>
      <c r="G39">
        <f t="shared" si="0"/>
        <v>74</v>
      </c>
      <c r="H39">
        <v>5</v>
      </c>
      <c r="I39">
        <v>14.8</v>
      </c>
      <c r="J39">
        <v>37</v>
      </c>
      <c r="K39">
        <v>37</v>
      </c>
    </row>
    <row r="40" spans="1:11" x14ac:dyDescent="0.15">
      <c r="A40" s="1">
        <v>42748</v>
      </c>
      <c r="B40">
        <v>103330</v>
      </c>
      <c r="C40" t="s">
        <v>133</v>
      </c>
      <c r="D40" t="s">
        <v>13</v>
      </c>
      <c r="E40" t="s">
        <v>14</v>
      </c>
      <c r="F40" t="s">
        <v>249</v>
      </c>
      <c r="G40">
        <f t="shared" si="0"/>
        <v>822.06000000000006</v>
      </c>
      <c r="H40">
        <v>9</v>
      </c>
      <c r="I40">
        <v>91.34</v>
      </c>
      <c r="J40">
        <v>411</v>
      </c>
      <c r="K40">
        <v>411.06000000000006</v>
      </c>
    </row>
    <row r="41" spans="1:11" x14ac:dyDescent="0.15">
      <c r="A41" s="1">
        <v>42838</v>
      </c>
      <c r="B41">
        <v>103417</v>
      </c>
      <c r="C41" t="s">
        <v>115</v>
      </c>
      <c r="D41" t="s">
        <v>13</v>
      </c>
      <c r="E41" t="s">
        <v>15</v>
      </c>
      <c r="F41" t="s">
        <v>249</v>
      </c>
      <c r="G41">
        <f t="shared" si="0"/>
        <v>38.919999999999995</v>
      </c>
      <c r="H41">
        <v>7</v>
      </c>
      <c r="I41">
        <v>5.56</v>
      </c>
      <c r="J41">
        <v>19</v>
      </c>
      <c r="K41">
        <v>19.919999999999995</v>
      </c>
    </row>
    <row r="42" spans="1:11" x14ac:dyDescent="0.15">
      <c r="A42" s="1">
        <v>42905</v>
      </c>
      <c r="B42">
        <v>103456</v>
      </c>
      <c r="C42" t="s">
        <v>194</v>
      </c>
      <c r="D42" t="s">
        <v>13</v>
      </c>
      <c r="E42" t="s">
        <v>15</v>
      </c>
      <c r="F42" t="s">
        <v>249</v>
      </c>
      <c r="G42">
        <f t="shared" si="0"/>
        <v>448.8</v>
      </c>
      <c r="H42">
        <v>5</v>
      </c>
      <c r="I42">
        <v>89.76</v>
      </c>
      <c r="J42">
        <v>224</v>
      </c>
      <c r="K42">
        <v>224.8</v>
      </c>
    </row>
    <row r="43" spans="1:11" x14ac:dyDescent="0.15">
      <c r="A43" s="1">
        <v>43094</v>
      </c>
      <c r="B43">
        <v>103518</v>
      </c>
      <c r="C43" t="s">
        <v>194</v>
      </c>
      <c r="D43" t="s">
        <v>13</v>
      </c>
      <c r="E43" t="s">
        <v>37</v>
      </c>
      <c r="F43" t="s">
        <v>249</v>
      </c>
      <c r="G43">
        <f t="shared" si="0"/>
        <v>85.88</v>
      </c>
      <c r="H43">
        <v>2</v>
      </c>
      <c r="I43">
        <v>42.94</v>
      </c>
      <c r="J43">
        <v>42</v>
      </c>
      <c r="K43">
        <v>43.879999999999995</v>
      </c>
    </row>
    <row r="44" spans="1:11" x14ac:dyDescent="0.15">
      <c r="A44" s="1">
        <v>43059</v>
      </c>
      <c r="B44">
        <v>103582</v>
      </c>
      <c r="C44" t="s">
        <v>240</v>
      </c>
      <c r="D44" t="s">
        <v>13</v>
      </c>
      <c r="E44" t="s">
        <v>15</v>
      </c>
      <c r="F44" t="s">
        <v>249</v>
      </c>
      <c r="G44">
        <f t="shared" si="0"/>
        <v>97.3</v>
      </c>
      <c r="H44">
        <v>7</v>
      </c>
      <c r="I44">
        <v>13.9</v>
      </c>
      <c r="J44">
        <v>48</v>
      </c>
      <c r="K44">
        <v>49.3</v>
      </c>
    </row>
    <row r="45" spans="1:11" x14ac:dyDescent="0.15">
      <c r="A45" s="1">
        <v>42769</v>
      </c>
      <c r="B45">
        <v>103704</v>
      </c>
      <c r="C45" t="s">
        <v>16</v>
      </c>
      <c r="D45" t="s">
        <v>13</v>
      </c>
      <c r="E45" t="s">
        <v>14</v>
      </c>
      <c r="F45" t="s">
        <v>249</v>
      </c>
      <c r="G45">
        <f t="shared" si="0"/>
        <v>342.42</v>
      </c>
      <c r="H45">
        <v>6</v>
      </c>
      <c r="I45">
        <v>57.07</v>
      </c>
      <c r="J45">
        <v>171</v>
      </c>
      <c r="K45">
        <v>171.42000000000002</v>
      </c>
    </row>
    <row r="46" spans="1:11" x14ac:dyDescent="0.15">
      <c r="A46" s="1">
        <v>42439</v>
      </c>
      <c r="B46">
        <v>100123</v>
      </c>
      <c r="C46" t="s">
        <v>72</v>
      </c>
      <c r="D46" t="s">
        <v>13</v>
      </c>
      <c r="E46" t="s">
        <v>15</v>
      </c>
      <c r="F46" t="s">
        <v>67</v>
      </c>
      <c r="G46">
        <f t="shared" si="0"/>
        <v>82.55</v>
      </c>
      <c r="H46">
        <v>1</v>
      </c>
      <c r="I46">
        <v>82.55</v>
      </c>
      <c r="J46">
        <v>41</v>
      </c>
      <c r="K46">
        <v>41.55</v>
      </c>
    </row>
    <row r="47" spans="1:11" x14ac:dyDescent="0.15">
      <c r="A47" s="1">
        <v>42515</v>
      </c>
      <c r="B47">
        <v>100478</v>
      </c>
      <c r="C47" t="s">
        <v>155</v>
      </c>
      <c r="D47" t="s">
        <v>13</v>
      </c>
      <c r="E47" t="s">
        <v>37</v>
      </c>
      <c r="F47" t="s">
        <v>67</v>
      </c>
      <c r="G47">
        <f t="shared" si="0"/>
        <v>13.99</v>
      </c>
      <c r="H47">
        <v>1</v>
      </c>
      <c r="I47">
        <v>13.99</v>
      </c>
      <c r="J47">
        <v>6</v>
      </c>
      <c r="K47">
        <v>7.99</v>
      </c>
    </row>
    <row r="48" spans="1:11" x14ac:dyDescent="0.15">
      <c r="A48" s="1">
        <v>42586</v>
      </c>
      <c r="B48">
        <v>100565</v>
      </c>
      <c r="C48" t="s">
        <v>173</v>
      </c>
      <c r="D48" t="s">
        <v>13</v>
      </c>
      <c r="E48" t="s">
        <v>15</v>
      </c>
      <c r="F48" t="s">
        <v>67</v>
      </c>
      <c r="G48">
        <f t="shared" si="0"/>
        <v>90.63</v>
      </c>
      <c r="H48">
        <v>3</v>
      </c>
      <c r="I48">
        <v>30.21</v>
      </c>
      <c r="J48">
        <v>45</v>
      </c>
      <c r="K48">
        <v>45.629999999999995</v>
      </c>
    </row>
    <row r="49" spans="1:11" x14ac:dyDescent="0.15">
      <c r="A49" s="1">
        <v>42950</v>
      </c>
      <c r="B49">
        <v>102646</v>
      </c>
      <c r="C49" t="s">
        <v>179</v>
      </c>
      <c r="D49" t="s">
        <v>13</v>
      </c>
      <c r="E49" t="s">
        <v>15</v>
      </c>
      <c r="F49" t="s">
        <v>67</v>
      </c>
      <c r="G49">
        <f t="shared" si="0"/>
        <v>144.76</v>
      </c>
      <c r="H49">
        <v>7</v>
      </c>
      <c r="I49">
        <v>20.68</v>
      </c>
      <c r="J49">
        <v>72</v>
      </c>
      <c r="K49">
        <v>72.759999999999991</v>
      </c>
    </row>
    <row r="50" spans="1:11" x14ac:dyDescent="0.15">
      <c r="A50" s="1">
        <v>42835</v>
      </c>
      <c r="B50">
        <v>102663</v>
      </c>
      <c r="C50" t="s">
        <v>111</v>
      </c>
      <c r="D50" t="s">
        <v>13</v>
      </c>
      <c r="E50" t="s">
        <v>15</v>
      </c>
      <c r="F50" t="s">
        <v>67</v>
      </c>
      <c r="G50">
        <f t="shared" si="0"/>
        <v>259</v>
      </c>
      <c r="H50">
        <v>10</v>
      </c>
      <c r="I50">
        <v>25.9</v>
      </c>
      <c r="J50">
        <v>129</v>
      </c>
      <c r="K50">
        <v>130</v>
      </c>
    </row>
    <row r="51" spans="1:11" x14ac:dyDescent="0.15">
      <c r="A51" s="1">
        <v>43067</v>
      </c>
      <c r="B51">
        <v>102733</v>
      </c>
      <c r="C51" t="s">
        <v>155</v>
      </c>
      <c r="D51" t="s">
        <v>13</v>
      </c>
      <c r="E51" t="s">
        <v>37</v>
      </c>
      <c r="F51" t="s">
        <v>67</v>
      </c>
      <c r="G51">
        <f t="shared" si="0"/>
        <v>389.16</v>
      </c>
      <c r="H51">
        <v>4</v>
      </c>
      <c r="I51">
        <v>97.29</v>
      </c>
      <c r="J51">
        <v>194</v>
      </c>
      <c r="K51">
        <v>195.16000000000003</v>
      </c>
    </row>
    <row r="52" spans="1:11" x14ac:dyDescent="0.15">
      <c r="A52" s="1">
        <v>42809</v>
      </c>
      <c r="B52">
        <v>102750</v>
      </c>
      <c r="C52" t="s">
        <v>168</v>
      </c>
      <c r="D52" t="s">
        <v>13</v>
      </c>
      <c r="E52" t="s">
        <v>15</v>
      </c>
      <c r="F52" t="s">
        <v>67</v>
      </c>
      <c r="G52">
        <f t="shared" si="0"/>
        <v>7.4</v>
      </c>
      <c r="H52">
        <v>2</v>
      </c>
      <c r="I52">
        <v>3.7</v>
      </c>
      <c r="J52">
        <v>3</v>
      </c>
      <c r="K52">
        <v>4.4000000000000004</v>
      </c>
    </row>
    <row r="53" spans="1:11" x14ac:dyDescent="0.15">
      <c r="A53" s="1">
        <v>42804</v>
      </c>
      <c r="B53">
        <v>102824</v>
      </c>
      <c r="C53" t="s">
        <v>149</v>
      </c>
      <c r="D53" t="s">
        <v>13</v>
      </c>
      <c r="E53" t="s">
        <v>14</v>
      </c>
      <c r="F53" t="s">
        <v>67</v>
      </c>
      <c r="G53">
        <f t="shared" si="0"/>
        <v>379.79999999999995</v>
      </c>
      <c r="H53">
        <v>10</v>
      </c>
      <c r="I53">
        <v>37.979999999999997</v>
      </c>
      <c r="J53">
        <v>189</v>
      </c>
      <c r="K53">
        <v>190.79999999999995</v>
      </c>
    </row>
    <row r="54" spans="1:11" x14ac:dyDescent="0.15">
      <c r="A54" s="1">
        <v>42905</v>
      </c>
      <c r="B54">
        <v>102871</v>
      </c>
      <c r="C54" t="s">
        <v>235</v>
      </c>
      <c r="D54" t="s">
        <v>13</v>
      </c>
      <c r="E54" t="s">
        <v>37</v>
      </c>
      <c r="F54" t="s">
        <v>67</v>
      </c>
      <c r="G54">
        <f t="shared" si="0"/>
        <v>30.9</v>
      </c>
      <c r="H54">
        <v>1</v>
      </c>
      <c r="I54">
        <v>30.9</v>
      </c>
      <c r="J54">
        <v>15</v>
      </c>
      <c r="K54">
        <v>15.899999999999999</v>
      </c>
    </row>
    <row r="55" spans="1:11" x14ac:dyDescent="0.15">
      <c r="A55" s="1">
        <v>42905</v>
      </c>
      <c r="B55">
        <v>102921</v>
      </c>
      <c r="C55" t="s">
        <v>219</v>
      </c>
      <c r="D55" t="s">
        <v>13</v>
      </c>
      <c r="E55" t="s">
        <v>14</v>
      </c>
      <c r="F55" t="s">
        <v>67</v>
      </c>
      <c r="G55">
        <f t="shared" si="0"/>
        <v>179.68</v>
      </c>
      <c r="H55">
        <v>8</v>
      </c>
      <c r="I55">
        <v>22.46</v>
      </c>
      <c r="J55">
        <v>89</v>
      </c>
      <c r="K55">
        <v>90.68</v>
      </c>
    </row>
    <row r="56" spans="1:11" x14ac:dyDescent="0.15">
      <c r="A56" s="1">
        <v>42809</v>
      </c>
      <c r="B56">
        <v>102941</v>
      </c>
      <c r="C56" t="s">
        <v>182</v>
      </c>
      <c r="D56" t="s">
        <v>13</v>
      </c>
      <c r="E56" t="s">
        <v>15</v>
      </c>
      <c r="F56" t="s">
        <v>67</v>
      </c>
      <c r="G56">
        <f t="shared" si="0"/>
        <v>699.66</v>
      </c>
      <c r="H56">
        <v>9</v>
      </c>
      <c r="I56">
        <v>77.739999999999995</v>
      </c>
      <c r="J56">
        <v>349</v>
      </c>
      <c r="K56">
        <v>350.65999999999997</v>
      </c>
    </row>
    <row r="57" spans="1:11" x14ac:dyDescent="0.15">
      <c r="A57" s="1">
        <v>43047</v>
      </c>
      <c r="B57">
        <v>102961</v>
      </c>
      <c r="C57" t="s">
        <v>139</v>
      </c>
      <c r="D57" t="s">
        <v>13</v>
      </c>
      <c r="E57" t="s">
        <v>15</v>
      </c>
      <c r="F57" t="s">
        <v>67</v>
      </c>
      <c r="G57">
        <f t="shared" si="0"/>
        <v>19.04</v>
      </c>
      <c r="H57">
        <v>4</v>
      </c>
      <c r="I57">
        <v>4.76</v>
      </c>
      <c r="J57">
        <v>9</v>
      </c>
      <c r="K57">
        <v>10.039999999999999</v>
      </c>
    </row>
    <row r="58" spans="1:11" x14ac:dyDescent="0.15">
      <c r="A58" s="1">
        <v>42741</v>
      </c>
      <c r="B58">
        <v>103045</v>
      </c>
      <c r="C58" t="s">
        <v>124</v>
      </c>
      <c r="D58" t="s">
        <v>13</v>
      </c>
      <c r="E58" t="s">
        <v>15</v>
      </c>
      <c r="F58" t="s">
        <v>67</v>
      </c>
      <c r="G58">
        <f t="shared" si="0"/>
        <v>309</v>
      </c>
      <c r="H58">
        <v>5</v>
      </c>
      <c r="I58">
        <v>61.8</v>
      </c>
      <c r="J58">
        <v>154</v>
      </c>
      <c r="K58">
        <v>155</v>
      </c>
    </row>
    <row r="59" spans="1:11" x14ac:dyDescent="0.15">
      <c r="A59" s="1">
        <v>42998</v>
      </c>
      <c r="B59">
        <v>103059</v>
      </c>
      <c r="C59" t="s">
        <v>139</v>
      </c>
      <c r="D59" t="s">
        <v>13</v>
      </c>
      <c r="E59" t="s">
        <v>14</v>
      </c>
      <c r="F59" t="s">
        <v>67</v>
      </c>
      <c r="G59">
        <f t="shared" si="0"/>
        <v>456.2</v>
      </c>
      <c r="H59">
        <v>10</v>
      </c>
      <c r="I59">
        <v>45.62</v>
      </c>
      <c r="J59">
        <v>228</v>
      </c>
      <c r="K59">
        <v>228.2</v>
      </c>
    </row>
    <row r="60" spans="1:11" x14ac:dyDescent="0.15">
      <c r="A60" s="1">
        <v>42971</v>
      </c>
      <c r="B60">
        <v>103254</v>
      </c>
      <c r="C60" t="s">
        <v>124</v>
      </c>
      <c r="D60" t="s">
        <v>13</v>
      </c>
      <c r="E60" t="s">
        <v>37</v>
      </c>
      <c r="F60" t="s">
        <v>67</v>
      </c>
      <c r="G60">
        <f t="shared" si="0"/>
        <v>270.89999999999998</v>
      </c>
      <c r="H60">
        <v>6</v>
      </c>
      <c r="I60">
        <v>45.15</v>
      </c>
      <c r="J60">
        <v>135</v>
      </c>
      <c r="K60">
        <v>135.89999999999998</v>
      </c>
    </row>
    <row r="61" spans="1:11" x14ac:dyDescent="0.15">
      <c r="A61" s="1">
        <v>42811</v>
      </c>
      <c r="B61">
        <v>103288</v>
      </c>
      <c r="C61" t="s">
        <v>193</v>
      </c>
      <c r="D61" t="s">
        <v>13</v>
      </c>
      <c r="E61" t="s">
        <v>14</v>
      </c>
      <c r="F61" t="s">
        <v>67</v>
      </c>
      <c r="G61">
        <f t="shared" si="0"/>
        <v>129.27000000000001</v>
      </c>
      <c r="H61">
        <v>3</v>
      </c>
      <c r="I61">
        <v>43.09</v>
      </c>
      <c r="J61">
        <v>64</v>
      </c>
      <c r="K61">
        <v>65.27000000000001</v>
      </c>
    </row>
    <row r="62" spans="1:11" x14ac:dyDescent="0.15">
      <c r="A62" s="1">
        <v>43093</v>
      </c>
      <c r="B62">
        <v>103297</v>
      </c>
      <c r="C62" t="s">
        <v>129</v>
      </c>
      <c r="D62" t="s">
        <v>13</v>
      </c>
      <c r="E62" t="s">
        <v>37</v>
      </c>
      <c r="F62" t="s">
        <v>67</v>
      </c>
      <c r="G62">
        <f t="shared" si="0"/>
        <v>119.25</v>
      </c>
      <c r="H62">
        <v>5</v>
      </c>
      <c r="I62">
        <v>23.85</v>
      </c>
      <c r="J62">
        <v>59</v>
      </c>
      <c r="K62">
        <v>60.25</v>
      </c>
    </row>
    <row r="63" spans="1:11" x14ac:dyDescent="0.15">
      <c r="A63" s="1">
        <v>43047</v>
      </c>
      <c r="B63">
        <v>103454</v>
      </c>
      <c r="C63" t="s">
        <v>170</v>
      </c>
      <c r="D63" t="s">
        <v>13</v>
      </c>
      <c r="E63" t="s">
        <v>37</v>
      </c>
      <c r="F63" t="s">
        <v>67</v>
      </c>
      <c r="G63">
        <f t="shared" si="0"/>
        <v>158.28</v>
      </c>
      <c r="H63">
        <v>6</v>
      </c>
      <c r="I63">
        <v>26.38</v>
      </c>
      <c r="J63">
        <v>79</v>
      </c>
      <c r="K63">
        <v>79.28</v>
      </c>
    </row>
    <row r="64" spans="1:11" x14ac:dyDescent="0.15">
      <c r="A64" s="1">
        <v>42902</v>
      </c>
      <c r="B64">
        <v>103480</v>
      </c>
      <c r="C64" t="s">
        <v>178</v>
      </c>
      <c r="D64" t="s">
        <v>13</v>
      </c>
      <c r="E64" t="s">
        <v>14</v>
      </c>
      <c r="F64" t="s">
        <v>67</v>
      </c>
      <c r="G64">
        <f t="shared" si="0"/>
        <v>527.76</v>
      </c>
      <c r="H64">
        <v>9</v>
      </c>
      <c r="I64">
        <v>58.64</v>
      </c>
      <c r="J64">
        <v>263</v>
      </c>
      <c r="K64">
        <v>264.76</v>
      </c>
    </row>
    <row r="65" spans="1:11" x14ac:dyDescent="0.15">
      <c r="A65" s="1">
        <v>43063</v>
      </c>
      <c r="B65">
        <v>103555</v>
      </c>
      <c r="C65" t="s">
        <v>124</v>
      </c>
      <c r="D65" t="s">
        <v>13</v>
      </c>
      <c r="E65" t="s">
        <v>15</v>
      </c>
      <c r="F65" t="s">
        <v>67</v>
      </c>
      <c r="G65">
        <f t="shared" si="0"/>
        <v>819.44999999999993</v>
      </c>
      <c r="H65">
        <v>9</v>
      </c>
      <c r="I65">
        <v>91.05</v>
      </c>
      <c r="J65">
        <v>409</v>
      </c>
      <c r="K65">
        <v>410.44999999999993</v>
      </c>
    </row>
    <row r="66" spans="1:11" x14ac:dyDescent="0.15">
      <c r="A66" s="1">
        <v>42741</v>
      </c>
      <c r="B66">
        <v>103800</v>
      </c>
      <c r="C66" t="s">
        <v>183</v>
      </c>
      <c r="D66" t="s">
        <v>13</v>
      </c>
      <c r="E66" t="s">
        <v>14</v>
      </c>
      <c r="F66" t="s">
        <v>67</v>
      </c>
      <c r="G66">
        <f t="shared" si="0"/>
        <v>551.44000000000005</v>
      </c>
      <c r="H66">
        <v>8</v>
      </c>
      <c r="I66">
        <v>68.930000000000007</v>
      </c>
      <c r="J66">
        <v>275</v>
      </c>
      <c r="K66">
        <v>276.44000000000005</v>
      </c>
    </row>
    <row r="67" spans="1:11" x14ac:dyDescent="0.15">
      <c r="A67" s="1">
        <v>42680</v>
      </c>
      <c r="B67">
        <v>100031</v>
      </c>
      <c r="C67" t="s">
        <v>31</v>
      </c>
      <c r="D67" t="s">
        <v>13</v>
      </c>
      <c r="E67" t="s">
        <v>14</v>
      </c>
      <c r="F67" t="s">
        <v>23</v>
      </c>
      <c r="G67">
        <f t="shared" ref="G67:G130" si="1">H67*I67</f>
        <v>526.31999999999994</v>
      </c>
      <c r="H67">
        <v>6</v>
      </c>
      <c r="I67">
        <v>87.72</v>
      </c>
      <c r="J67">
        <v>263</v>
      </c>
      <c r="K67">
        <v>263.31999999999994</v>
      </c>
    </row>
    <row r="68" spans="1:11" x14ac:dyDescent="0.15">
      <c r="A68" s="1">
        <v>42388</v>
      </c>
      <c r="B68">
        <v>100088</v>
      </c>
      <c r="C68" t="s">
        <v>55</v>
      </c>
      <c r="D68" t="s">
        <v>13</v>
      </c>
      <c r="E68" t="s">
        <v>14</v>
      </c>
      <c r="F68" t="s">
        <v>23</v>
      </c>
      <c r="G68">
        <f t="shared" si="1"/>
        <v>359.64</v>
      </c>
      <c r="H68">
        <v>4</v>
      </c>
      <c r="I68">
        <v>89.91</v>
      </c>
      <c r="J68">
        <v>179</v>
      </c>
      <c r="K68">
        <v>180.64</v>
      </c>
    </row>
    <row r="69" spans="1:11" x14ac:dyDescent="0.15">
      <c r="A69" s="1">
        <v>42441</v>
      </c>
      <c r="B69">
        <v>100205</v>
      </c>
      <c r="C69" t="s">
        <v>102</v>
      </c>
      <c r="D69" t="s">
        <v>13</v>
      </c>
      <c r="E69" t="s">
        <v>14</v>
      </c>
      <c r="F69" t="s">
        <v>23</v>
      </c>
      <c r="G69">
        <f t="shared" si="1"/>
        <v>351.2</v>
      </c>
      <c r="H69">
        <v>5</v>
      </c>
      <c r="I69">
        <v>70.239999999999995</v>
      </c>
      <c r="J69">
        <v>175</v>
      </c>
      <c r="K69">
        <v>176.2</v>
      </c>
    </row>
    <row r="70" spans="1:11" x14ac:dyDescent="0.15">
      <c r="A70" s="1">
        <v>42447</v>
      </c>
      <c r="B70">
        <v>100241</v>
      </c>
      <c r="C70" t="s">
        <v>49</v>
      </c>
      <c r="D70" t="s">
        <v>13</v>
      </c>
      <c r="E70" t="s">
        <v>37</v>
      </c>
      <c r="F70" t="s">
        <v>23</v>
      </c>
      <c r="G70">
        <f t="shared" si="1"/>
        <v>118.56</v>
      </c>
      <c r="H70">
        <v>4</v>
      </c>
      <c r="I70">
        <v>29.64</v>
      </c>
      <c r="J70">
        <v>59</v>
      </c>
      <c r="K70">
        <v>59.56</v>
      </c>
    </row>
    <row r="71" spans="1:11" x14ac:dyDescent="0.15">
      <c r="A71" s="1">
        <v>42650</v>
      </c>
      <c r="B71">
        <v>100303</v>
      </c>
      <c r="C71" t="s">
        <v>128</v>
      </c>
      <c r="D71" t="s">
        <v>13</v>
      </c>
      <c r="E71" t="s">
        <v>14</v>
      </c>
      <c r="F71" t="s">
        <v>23</v>
      </c>
      <c r="G71">
        <f t="shared" si="1"/>
        <v>170.82</v>
      </c>
      <c r="H71">
        <v>2</v>
      </c>
      <c r="I71">
        <v>85.41</v>
      </c>
      <c r="J71">
        <v>85</v>
      </c>
      <c r="K71">
        <v>85.82</v>
      </c>
    </row>
    <row r="72" spans="1:11" x14ac:dyDescent="0.15">
      <c r="A72" s="1">
        <v>42671</v>
      </c>
      <c r="B72">
        <v>100406</v>
      </c>
      <c r="C72" t="s">
        <v>145</v>
      </c>
      <c r="D72" t="s">
        <v>13</v>
      </c>
      <c r="E72" t="s">
        <v>15</v>
      </c>
      <c r="F72" t="s">
        <v>23</v>
      </c>
      <c r="G72">
        <f t="shared" si="1"/>
        <v>203.58</v>
      </c>
      <c r="H72">
        <v>9</v>
      </c>
      <c r="I72">
        <v>22.62</v>
      </c>
      <c r="J72">
        <v>101</v>
      </c>
      <c r="K72">
        <v>102.58000000000001</v>
      </c>
    </row>
    <row r="73" spans="1:11" x14ac:dyDescent="0.15">
      <c r="A73" s="1">
        <v>42470</v>
      </c>
      <c r="B73">
        <v>100469</v>
      </c>
      <c r="C73" t="s">
        <v>116</v>
      </c>
      <c r="D73" t="s">
        <v>13</v>
      </c>
      <c r="E73" t="s">
        <v>14</v>
      </c>
      <c r="F73" t="s">
        <v>23</v>
      </c>
      <c r="G73">
        <f t="shared" si="1"/>
        <v>12.33</v>
      </c>
      <c r="H73">
        <v>1</v>
      </c>
      <c r="I73">
        <v>12.33</v>
      </c>
      <c r="J73">
        <v>6</v>
      </c>
      <c r="K73">
        <v>6.33</v>
      </c>
    </row>
    <row r="74" spans="1:11" x14ac:dyDescent="0.15">
      <c r="A74" s="1">
        <v>42650</v>
      </c>
      <c r="B74">
        <v>100516</v>
      </c>
      <c r="C74" t="s">
        <v>152</v>
      </c>
      <c r="D74" t="s">
        <v>13</v>
      </c>
      <c r="E74" t="s">
        <v>14</v>
      </c>
      <c r="F74" t="s">
        <v>23</v>
      </c>
      <c r="G74">
        <f t="shared" si="1"/>
        <v>179.7</v>
      </c>
      <c r="H74">
        <v>10</v>
      </c>
      <c r="I74">
        <v>17.97</v>
      </c>
      <c r="J74">
        <v>89</v>
      </c>
      <c r="K74">
        <v>90.699999999999989</v>
      </c>
    </row>
    <row r="75" spans="1:11" x14ac:dyDescent="0.15">
      <c r="A75" s="1">
        <v>42765</v>
      </c>
      <c r="B75">
        <v>102818</v>
      </c>
      <c r="C75" t="s">
        <v>236</v>
      </c>
      <c r="D75" t="s">
        <v>13</v>
      </c>
      <c r="E75" t="s">
        <v>15</v>
      </c>
      <c r="F75" t="s">
        <v>23</v>
      </c>
      <c r="G75">
        <f t="shared" si="1"/>
        <v>79.23</v>
      </c>
      <c r="H75">
        <v>1</v>
      </c>
      <c r="I75">
        <v>79.23</v>
      </c>
      <c r="J75">
        <v>39</v>
      </c>
      <c r="K75">
        <v>40.230000000000004</v>
      </c>
    </row>
    <row r="76" spans="1:11" x14ac:dyDescent="0.15">
      <c r="A76" s="1">
        <v>42953</v>
      </c>
      <c r="B76">
        <v>102826</v>
      </c>
      <c r="C76" t="s">
        <v>49</v>
      </c>
      <c r="D76" t="s">
        <v>13</v>
      </c>
      <c r="E76" t="s">
        <v>14</v>
      </c>
      <c r="F76" t="s">
        <v>23</v>
      </c>
      <c r="G76">
        <f t="shared" si="1"/>
        <v>356.6</v>
      </c>
      <c r="H76">
        <v>4</v>
      </c>
      <c r="I76">
        <v>89.15</v>
      </c>
      <c r="J76">
        <v>178</v>
      </c>
      <c r="K76">
        <v>178.60000000000002</v>
      </c>
    </row>
    <row r="77" spans="1:11" x14ac:dyDescent="0.15">
      <c r="A77" s="1">
        <v>42872</v>
      </c>
      <c r="B77">
        <v>102835</v>
      </c>
      <c r="C77" t="s">
        <v>80</v>
      </c>
      <c r="D77" t="s">
        <v>13</v>
      </c>
      <c r="E77" t="s">
        <v>37</v>
      </c>
      <c r="F77" t="s">
        <v>23</v>
      </c>
      <c r="G77">
        <f t="shared" si="1"/>
        <v>13.799999999999999</v>
      </c>
      <c r="H77">
        <v>10</v>
      </c>
      <c r="I77">
        <v>1.38</v>
      </c>
      <c r="J77">
        <v>6</v>
      </c>
      <c r="K77">
        <v>7.7999999999999989</v>
      </c>
    </row>
    <row r="78" spans="1:11" x14ac:dyDescent="0.15">
      <c r="A78" s="1">
        <v>42761</v>
      </c>
      <c r="B78">
        <v>102940</v>
      </c>
      <c r="C78" t="s">
        <v>82</v>
      </c>
      <c r="D78" t="s">
        <v>13</v>
      </c>
      <c r="E78" t="s">
        <v>15</v>
      </c>
      <c r="F78" t="s">
        <v>23</v>
      </c>
      <c r="G78">
        <f t="shared" si="1"/>
        <v>121.96</v>
      </c>
      <c r="H78">
        <v>4</v>
      </c>
      <c r="I78">
        <v>30.49</v>
      </c>
      <c r="J78">
        <v>60</v>
      </c>
      <c r="K78">
        <v>61.959999999999994</v>
      </c>
    </row>
    <row r="79" spans="1:11" x14ac:dyDescent="0.15">
      <c r="A79" s="1">
        <v>42761</v>
      </c>
      <c r="B79">
        <v>102940</v>
      </c>
      <c r="C79" t="s">
        <v>145</v>
      </c>
      <c r="D79" t="s">
        <v>13</v>
      </c>
      <c r="E79" t="s">
        <v>15</v>
      </c>
      <c r="F79" t="s">
        <v>23</v>
      </c>
      <c r="G79">
        <f t="shared" si="1"/>
        <v>849.51</v>
      </c>
      <c r="H79">
        <v>9</v>
      </c>
      <c r="I79">
        <v>94.39</v>
      </c>
      <c r="J79">
        <v>424</v>
      </c>
      <c r="K79">
        <v>425.51</v>
      </c>
    </row>
    <row r="80" spans="1:11" x14ac:dyDescent="0.15">
      <c r="A80" s="1">
        <v>43039</v>
      </c>
      <c r="B80">
        <v>102981</v>
      </c>
      <c r="C80" t="s">
        <v>49</v>
      </c>
      <c r="D80" t="s">
        <v>13</v>
      </c>
      <c r="E80" t="s">
        <v>15</v>
      </c>
      <c r="F80" t="s">
        <v>23</v>
      </c>
      <c r="G80">
        <f t="shared" si="1"/>
        <v>291.2</v>
      </c>
      <c r="H80">
        <v>8</v>
      </c>
      <c r="I80">
        <v>36.4</v>
      </c>
      <c r="J80">
        <v>145</v>
      </c>
      <c r="K80">
        <v>146.19999999999999</v>
      </c>
    </row>
    <row r="81" spans="1:11" x14ac:dyDescent="0.15">
      <c r="A81" s="1">
        <v>42995</v>
      </c>
      <c r="B81">
        <v>103100</v>
      </c>
      <c r="C81" t="s">
        <v>55</v>
      </c>
      <c r="D81" t="s">
        <v>13</v>
      </c>
      <c r="E81" t="s">
        <v>15</v>
      </c>
      <c r="F81" t="s">
        <v>23</v>
      </c>
      <c r="G81">
        <f t="shared" si="1"/>
        <v>536.05999999999995</v>
      </c>
      <c r="H81">
        <v>7</v>
      </c>
      <c r="I81">
        <v>76.58</v>
      </c>
      <c r="J81">
        <v>268</v>
      </c>
      <c r="K81">
        <v>268.05999999999995</v>
      </c>
    </row>
    <row r="82" spans="1:11" x14ac:dyDescent="0.15">
      <c r="A82" s="1">
        <v>43066</v>
      </c>
      <c r="B82">
        <v>103178</v>
      </c>
      <c r="C82" t="s">
        <v>44</v>
      </c>
      <c r="D82" t="s">
        <v>13</v>
      </c>
      <c r="E82" t="s">
        <v>15</v>
      </c>
      <c r="F82" t="s">
        <v>23</v>
      </c>
      <c r="G82">
        <f t="shared" si="1"/>
        <v>50.12</v>
      </c>
      <c r="H82">
        <v>4</v>
      </c>
      <c r="I82">
        <v>12.53</v>
      </c>
      <c r="J82">
        <v>25</v>
      </c>
      <c r="K82">
        <v>25.119999999999997</v>
      </c>
    </row>
    <row r="83" spans="1:11" x14ac:dyDescent="0.15">
      <c r="A83" s="1">
        <v>42777</v>
      </c>
      <c r="B83">
        <v>103371</v>
      </c>
      <c r="C83" t="s">
        <v>49</v>
      </c>
      <c r="D83" t="s">
        <v>13</v>
      </c>
      <c r="E83" t="s">
        <v>37</v>
      </c>
      <c r="F83" t="s">
        <v>23</v>
      </c>
      <c r="G83">
        <f t="shared" si="1"/>
        <v>296.2</v>
      </c>
      <c r="H83">
        <v>10</v>
      </c>
      <c r="I83">
        <v>29.62</v>
      </c>
      <c r="J83">
        <v>148</v>
      </c>
      <c r="K83">
        <v>148.19999999999999</v>
      </c>
    </row>
    <row r="84" spans="1:11" x14ac:dyDescent="0.15">
      <c r="A84" s="1">
        <v>42934</v>
      </c>
      <c r="B84">
        <v>103624</v>
      </c>
      <c r="C84" t="s">
        <v>236</v>
      </c>
      <c r="D84" t="s">
        <v>13</v>
      </c>
      <c r="E84" t="s">
        <v>37</v>
      </c>
      <c r="F84" t="s">
        <v>23</v>
      </c>
      <c r="G84">
        <f t="shared" si="1"/>
        <v>202.2</v>
      </c>
      <c r="H84">
        <v>4</v>
      </c>
      <c r="I84">
        <v>50.55</v>
      </c>
      <c r="J84">
        <v>101</v>
      </c>
      <c r="K84">
        <v>101.19999999999999</v>
      </c>
    </row>
    <row r="85" spans="1:11" x14ac:dyDescent="0.15">
      <c r="A85" s="1">
        <v>43055</v>
      </c>
      <c r="B85">
        <v>103631</v>
      </c>
      <c r="C85" t="s">
        <v>138</v>
      </c>
      <c r="D85" t="s">
        <v>13</v>
      </c>
      <c r="E85" t="s">
        <v>37</v>
      </c>
      <c r="F85" t="s">
        <v>23</v>
      </c>
      <c r="G85">
        <f t="shared" si="1"/>
        <v>445</v>
      </c>
      <c r="H85">
        <v>10</v>
      </c>
      <c r="I85">
        <v>44.5</v>
      </c>
      <c r="J85">
        <v>222</v>
      </c>
      <c r="K85">
        <v>223</v>
      </c>
    </row>
    <row r="86" spans="1:11" x14ac:dyDescent="0.15">
      <c r="A86" s="1">
        <v>43014</v>
      </c>
      <c r="B86">
        <v>103635</v>
      </c>
      <c r="C86" t="s">
        <v>110</v>
      </c>
      <c r="D86" t="s">
        <v>13</v>
      </c>
      <c r="E86" t="s">
        <v>14</v>
      </c>
      <c r="F86" t="s">
        <v>23</v>
      </c>
      <c r="G86">
        <f t="shared" si="1"/>
        <v>42.88</v>
      </c>
      <c r="H86">
        <v>1</v>
      </c>
      <c r="I86">
        <v>42.88</v>
      </c>
      <c r="J86">
        <v>21</v>
      </c>
      <c r="K86">
        <v>21.880000000000003</v>
      </c>
    </row>
    <row r="87" spans="1:11" x14ac:dyDescent="0.15">
      <c r="A87" s="1">
        <v>42856</v>
      </c>
      <c r="B87">
        <v>103696</v>
      </c>
      <c r="C87" t="s">
        <v>186</v>
      </c>
      <c r="D87" t="s">
        <v>13</v>
      </c>
      <c r="E87" t="s">
        <v>15</v>
      </c>
      <c r="F87" t="s">
        <v>23</v>
      </c>
      <c r="G87">
        <f t="shared" si="1"/>
        <v>194.8</v>
      </c>
      <c r="H87">
        <v>2</v>
      </c>
      <c r="I87">
        <v>97.4</v>
      </c>
      <c r="J87">
        <v>97</v>
      </c>
      <c r="K87">
        <v>97.800000000000011</v>
      </c>
    </row>
    <row r="88" spans="1:11" x14ac:dyDescent="0.15">
      <c r="A88" s="1">
        <v>43025</v>
      </c>
      <c r="B88">
        <v>103703</v>
      </c>
      <c r="C88" t="s">
        <v>126</v>
      </c>
      <c r="D88" t="s">
        <v>13</v>
      </c>
      <c r="E88" t="s">
        <v>14</v>
      </c>
      <c r="F88" t="s">
        <v>23</v>
      </c>
      <c r="G88">
        <f t="shared" si="1"/>
        <v>195.18</v>
      </c>
      <c r="H88">
        <v>2</v>
      </c>
      <c r="I88">
        <v>97.59</v>
      </c>
      <c r="J88">
        <v>97</v>
      </c>
      <c r="K88">
        <v>98.18</v>
      </c>
    </row>
    <row r="89" spans="1:11" x14ac:dyDescent="0.15">
      <c r="A89" s="1">
        <v>43015</v>
      </c>
      <c r="B89">
        <v>103713</v>
      </c>
      <c r="C89" t="s">
        <v>138</v>
      </c>
      <c r="D89" t="s">
        <v>13</v>
      </c>
      <c r="E89" t="s">
        <v>14</v>
      </c>
      <c r="F89" t="s">
        <v>23</v>
      </c>
      <c r="G89">
        <f t="shared" si="1"/>
        <v>77.64</v>
      </c>
      <c r="H89">
        <v>6</v>
      </c>
      <c r="I89">
        <v>12.94</v>
      </c>
      <c r="J89">
        <v>38</v>
      </c>
      <c r="K89">
        <v>39.64</v>
      </c>
    </row>
    <row r="90" spans="1:11" x14ac:dyDescent="0.15">
      <c r="A90" s="1">
        <v>42989</v>
      </c>
      <c r="B90">
        <v>103778</v>
      </c>
      <c r="C90" t="s">
        <v>80</v>
      </c>
      <c r="D90" t="s">
        <v>13</v>
      </c>
      <c r="E90" t="s">
        <v>15</v>
      </c>
      <c r="F90" t="s">
        <v>23</v>
      </c>
      <c r="G90">
        <f t="shared" si="1"/>
        <v>114.64</v>
      </c>
      <c r="H90">
        <v>2</v>
      </c>
      <c r="I90">
        <v>57.32</v>
      </c>
      <c r="J90">
        <v>57</v>
      </c>
      <c r="K90">
        <v>57.64</v>
      </c>
    </row>
    <row r="91" spans="1:11" x14ac:dyDescent="0.15">
      <c r="A91" s="1">
        <v>42670</v>
      </c>
      <c r="B91">
        <v>100531</v>
      </c>
      <c r="C91" t="s">
        <v>140</v>
      </c>
      <c r="D91" t="s">
        <v>13</v>
      </c>
      <c r="E91" t="s">
        <v>15</v>
      </c>
      <c r="F91" t="s">
        <v>74</v>
      </c>
      <c r="G91">
        <f t="shared" si="1"/>
        <v>387.65</v>
      </c>
      <c r="H91">
        <v>5</v>
      </c>
      <c r="I91">
        <v>77.53</v>
      </c>
      <c r="J91">
        <v>193</v>
      </c>
      <c r="K91">
        <v>194.64999999999998</v>
      </c>
    </row>
    <row r="92" spans="1:11" x14ac:dyDescent="0.15">
      <c r="A92" s="1">
        <v>42934</v>
      </c>
      <c r="B92">
        <v>102816</v>
      </c>
      <c r="C92" t="s">
        <v>117</v>
      </c>
      <c r="D92" t="s">
        <v>13</v>
      </c>
      <c r="E92" t="s">
        <v>37</v>
      </c>
      <c r="F92" t="s">
        <v>74</v>
      </c>
      <c r="G92">
        <f t="shared" si="1"/>
        <v>178.98</v>
      </c>
      <c r="H92">
        <v>3</v>
      </c>
      <c r="I92">
        <v>59.66</v>
      </c>
      <c r="J92">
        <v>89</v>
      </c>
      <c r="K92">
        <v>89.97999999999999</v>
      </c>
    </row>
    <row r="93" spans="1:11" x14ac:dyDescent="0.15">
      <c r="A93" s="1">
        <v>42769</v>
      </c>
      <c r="B93">
        <v>102919</v>
      </c>
      <c r="C93" t="s">
        <v>134</v>
      </c>
      <c r="D93" t="s">
        <v>13</v>
      </c>
      <c r="E93" t="s">
        <v>14</v>
      </c>
      <c r="F93" t="s">
        <v>74</v>
      </c>
      <c r="G93">
        <f t="shared" si="1"/>
        <v>107.76</v>
      </c>
      <c r="H93">
        <v>6</v>
      </c>
      <c r="I93">
        <v>17.96</v>
      </c>
      <c r="J93">
        <v>53</v>
      </c>
      <c r="K93">
        <v>54.760000000000005</v>
      </c>
    </row>
    <row r="94" spans="1:11" x14ac:dyDescent="0.15">
      <c r="A94" s="1">
        <v>42794</v>
      </c>
      <c r="B94">
        <v>102928</v>
      </c>
      <c r="C94" t="s">
        <v>225</v>
      </c>
      <c r="D94" t="s">
        <v>13</v>
      </c>
      <c r="E94" t="s">
        <v>15</v>
      </c>
      <c r="F94" t="s">
        <v>74</v>
      </c>
      <c r="G94">
        <f t="shared" si="1"/>
        <v>149.14999999999998</v>
      </c>
      <c r="H94">
        <v>5</v>
      </c>
      <c r="I94">
        <v>29.83</v>
      </c>
      <c r="J94">
        <v>74</v>
      </c>
      <c r="K94">
        <v>75.149999999999977</v>
      </c>
    </row>
    <row r="95" spans="1:11" x14ac:dyDescent="0.15">
      <c r="A95" s="1">
        <v>43006</v>
      </c>
      <c r="B95">
        <v>102954</v>
      </c>
      <c r="C95" t="s">
        <v>244</v>
      </c>
      <c r="D95" t="s">
        <v>13</v>
      </c>
      <c r="E95" t="s">
        <v>37</v>
      </c>
      <c r="F95" t="s">
        <v>74</v>
      </c>
      <c r="G95">
        <f t="shared" si="1"/>
        <v>5.76</v>
      </c>
      <c r="H95">
        <v>2</v>
      </c>
      <c r="I95">
        <v>2.88</v>
      </c>
      <c r="J95">
        <v>2</v>
      </c>
      <c r="K95">
        <v>3.76</v>
      </c>
    </row>
    <row r="96" spans="1:11" x14ac:dyDescent="0.15">
      <c r="A96" s="1">
        <v>43029</v>
      </c>
      <c r="B96">
        <v>103009</v>
      </c>
      <c r="C96" t="s">
        <v>201</v>
      </c>
      <c r="D96" t="s">
        <v>13</v>
      </c>
      <c r="E96" t="s">
        <v>14</v>
      </c>
      <c r="F96" t="s">
        <v>74</v>
      </c>
      <c r="G96">
        <f t="shared" si="1"/>
        <v>176.96</v>
      </c>
      <c r="H96">
        <v>7</v>
      </c>
      <c r="I96">
        <v>25.28</v>
      </c>
      <c r="J96">
        <v>88</v>
      </c>
      <c r="K96">
        <v>88.960000000000008</v>
      </c>
    </row>
    <row r="97" spans="1:11" x14ac:dyDescent="0.15">
      <c r="A97" s="1">
        <v>43091</v>
      </c>
      <c r="B97">
        <v>103054</v>
      </c>
      <c r="C97" t="s">
        <v>158</v>
      </c>
      <c r="D97" t="s">
        <v>13</v>
      </c>
      <c r="E97" t="s">
        <v>37</v>
      </c>
      <c r="F97" t="s">
        <v>74</v>
      </c>
      <c r="G97">
        <f t="shared" si="1"/>
        <v>54.179999999999993</v>
      </c>
      <c r="H97">
        <v>6</v>
      </c>
      <c r="I97">
        <v>9.0299999999999994</v>
      </c>
      <c r="J97">
        <v>27</v>
      </c>
      <c r="K97">
        <v>27.179999999999993</v>
      </c>
    </row>
    <row r="98" spans="1:11" x14ac:dyDescent="0.15">
      <c r="A98" s="1">
        <v>42763</v>
      </c>
      <c r="B98">
        <v>103103</v>
      </c>
      <c r="C98" t="s">
        <v>225</v>
      </c>
      <c r="D98" t="s">
        <v>13</v>
      </c>
      <c r="E98" t="s">
        <v>37</v>
      </c>
      <c r="F98" t="s">
        <v>74</v>
      </c>
      <c r="G98">
        <f t="shared" si="1"/>
        <v>527.12</v>
      </c>
      <c r="H98">
        <v>8</v>
      </c>
      <c r="I98">
        <v>65.89</v>
      </c>
      <c r="J98">
        <v>263</v>
      </c>
      <c r="K98">
        <v>264.12</v>
      </c>
    </row>
    <row r="99" spans="1:11" x14ac:dyDescent="0.15">
      <c r="A99" s="1">
        <v>42853</v>
      </c>
      <c r="B99">
        <v>103110</v>
      </c>
      <c r="C99" t="s">
        <v>140</v>
      </c>
      <c r="D99" t="s">
        <v>13</v>
      </c>
      <c r="E99" t="s">
        <v>15</v>
      </c>
      <c r="F99" t="s">
        <v>74</v>
      </c>
      <c r="G99">
        <f t="shared" si="1"/>
        <v>183.94</v>
      </c>
      <c r="H99">
        <v>2</v>
      </c>
      <c r="I99">
        <v>91.97</v>
      </c>
      <c r="J99">
        <v>91</v>
      </c>
      <c r="K99">
        <v>92.94</v>
      </c>
    </row>
    <row r="100" spans="1:11" x14ac:dyDescent="0.15">
      <c r="A100" s="1">
        <v>42998</v>
      </c>
      <c r="B100">
        <v>103183</v>
      </c>
      <c r="C100" t="s">
        <v>222</v>
      </c>
      <c r="D100" t="s">
        <v>13</v>
      </c>
      <c r="E100" t="s">
        <v>15</v>
      </c>
      <c r="F100" t="s">
        <v>74</v>
      </c>
      <c r="G100">
        <f t="shared" si="1"/>
        <v>271</v>
      </c>
      <c r="H100">
        <v>4</v>
      </c>
      <c r="I100">
        <v>67.75</v>
      </c>
      <c r="J100">
        <v>135</v>
      </c>
      <c r="K100">
        <v>136</v>
      </c>
    </row>
    <row r="101" spans="1:11" x14ac:dyDescent="0.15">
      <c r="A101" s="1">
        <v>43014</v>
      </c>
      <c r="B101">
        <v>103376</v>
      </c>
      <c r="C101" t="s">
        <v>117</v>
      </c>
      <c r="D101" t="s">
        <v>13</v>
      </c>
      <c r="E101" t="s">
        <v>14</v>
      </c>
      <c r="F101" t="s">
        <v>74</v>
      </c>
      <c r="G101">
        <f t="shared" si="1"/>
        <v>843.21</v>
      </c>
      <c r="H101">
        <v>9</v>
      </c>
      <c r="I101">
        <v>93.69</v>
      </c>
      <c r="J101">
        <v>421</v>
      </c>
      <c r="K101">
        <v>422.21000000000004</v>
      </c>
    </row>
    <row r="102" spans="1:11" x14ac:dyDescent="0.15">
      <c r="A102" s="1">
        <v>42945</v>
      </c>
      <c r="B102">
        <v>103439</v>
      </c>
      <c r="C102" t="s">
        <v>140</v>
      </c>
      <c r="D102" t="s">
        <v>13</v>
      </c>
      <c r="E102" t="s">
        <v>37</v>
      </c>
      <c r="F102" t="s">
        <v>74</v>
      </c>
      <c r="G102">
        <f t="shared" si="1"/>
        <v>279.12</v>
      </c>
      <c r="H102">
        <v>4</v>
      </c>
      <c r="I102">
        <v>69.78</v>
      </c>
      <c r="J102">
        <v>139</v>
      </c>
      <c r="K102">
        <v>140.12</v>
      </c>
    </row>
    <row r="103" spans="1:11" x14ac:dyDescent="0.15">
      <c r="A103" s="1">
        <v>42855</v>
      </c>
      <c r="B103">
        <v>103642</v>
      </c>
      <c r="C103" t="s">
        <v>201</v>
      </c>
      <c r="D103" t="s">
        <v>13</v>
      </c>
      <c r="E103" t="s">
        <v>15</v>
      </c>
      <c r="F103" t="s">
        <v>74</v>
      </c>
      <c r="G103">
        <f t="shared" si="1"/>
        <v>190.2</v>
      </c>
      <c r="H103">
        <v>3</v>
      </c>
      <c r="I103">
        <v>63.4</v>
      </c>
      <c r="J103">
        <v>95</v>
      </c>
      <c r="K103">
        <v>95.199999999999989</v>
      </c>
    </row>
    <row r="104" spans="1:11" x14ac:dyDescent="0.15">
      <c r="A104" s="1">
        <v>42786</v>
      </c>
      <c r="B104">
        <v>103644</v>
      </c>
      <c r="C104" t="s">
        <v>163</v>
      </c>
      <c r="D104" t="s">
        <v>13</v>
      </c>
      <c r="E104" t="s">
        <v>37</v>
      </c>
      <c r="F104" t="s">
        <v>65</v>
      </c>
      <c r="G104">
        <f t="shared" si="1"/>
        <v>315.18</v>
      </c>
      <c r="H104">
        <v>6</v>
      </c>
      <c r="I104">
        <v>52.53</v>
      </c>
      <c r="J104">
        <v>157</v>
      </c>
      <c r="K104">
        <v>158.18</v>
      </c>
    </row>
    <row r="105" spans="1:11" x14ac:dyDescent="0.15">
      <c r="A105" s="1">
        <v>43015</v>
      </c>
      <c r="B105">
        <v>103713</v>
      </c>
      <c r="C105" t="s">
        <v>66</v>
      </c>
      <c r="D105" t="s">
        <v>13</v>
      </c>
      <c r="E105" t="s">
        <v>14</v>
      </c>
      <c r="F105" t="s">
        <v>65</v>
      </c>
      <c r="G105">
        <f t="shared" si="1"/>
        <v>321.48</v>
      </c>
      <c r="H105">
        <v>4</v>
      </c>
      <c r="I105">
        <v>80.37</v>
      </c>
      <c r="J105">
        <v>160</v>
      </c>
      <c r="K105">
        <v>161.48000000000002</v>
      </c>
    </row>
    <row r="106" spans="1:11" x14ac:dyDescent="0.15">
      <c r="A106" s="1">
        <v>42388</v>
      </c>
      <c r="B106">
        <v>100088</v>
      </c>
      <c r="C106" t="s">
        <v>57</v>
      </c>
      <c r="D106" t="s">
        <v>13</v>
      </c>
      <c r="E106" t="s">
        <v>14</v>
      </c>
      <c r="F106" t="s">
        <v>56</v>
      </c>
      <c r="G106">
        <f t="shared" si="1"/>
        <v>74.92</v>
      </c>
      <c r="H106">
        <v>4</v>
      </c>
      <c r="I106">
        <v>18.73</v>
      </c>
      <c r="J106">
        <v>37</v>
      </c>
      <c r="K106">
        <v>37.92</v>
      </c>
    </row>
    <row r="107" spans="1:11" x14ac:dyDescent="0.15">
      <c r="A107" s="1">
        <v>42642</v>
      </c>
      <c r="B107">
        <v>100227</v>
      </c>
      <c r="C107" t="s">
        <v>57</v>
      </c>
      <c r="D107" t="s">
        <v>13</v>
      </c>
      <c r="E107" t="s">
        <v>15</v>
      </c>
      <c r="F107" t="s">
        <v>56</v>
      </c>
      <c r="G107">
        <f t="shared" si="1"/>
        <v>192.42000000000002</v>
      </c>
      <c r="H107">
        <v>6</v>
      </c>
      <c r="I107">
        <v>32.07</v>
      </c>
      <c r="J107">
        <v>96</v>
      </c>
      <c r="K107">
        <v>96.420000000000016</v>
      </c>
    </row>
    <row r="108" spans="1:11" x14ac:dyDescent="0.15">
      <c r="A108" s="1">
        <v>42490</v>
      </c>
      <c r="B108">
        <v>100580</v>
      </c>
      <c r="C108" t="s">
        <v>143</v>
      </c>
      <c r="D108" t="s">
        <v>13</v>
      </c>
      <c r="E108" t="s">
        <v>15</v>
      </c>
      <c r="F108" t="s">
        <v>56</v>
      </c>
      <c r="G108">
        <f t="shared" si="1"/>
        <v>480.06000000000006</v>
      </c>
      <c r="H108">
        <v>6</v>
      </c>
      <c r="I108">
        <v>80.010000000000005</v>
      </c>
      <c r="J108">
        <v>240</v>
      </c>
      <c r="K108">
        <v>240.06000000000006</v>
      </c>
    </row>
    <row r="109" spans="1:11" x14ac:dyDescent="0.15">
      <c r="A109" s="1">
        <v>42795</v>
      </c>
      <c r="B109">
        <v>103515</v>
      </c>
      <c r="C109" t="s">
        <v>238</v>
      </c>
      <c r="D109" t="s">
        <v>13</v>
      </c>
      <c r="E109" t="s">
        <v>14</v>
      </c>
      <c r="F109" t="s">
        <v>56</v>
      </c>
      <c r="G109">
        <f t="shared" si="1"/>
        <v>181.9</v>
      </c>
      <c r="H109">
        <v>10</v>
      </c>
      <c r="I109">
        <v>18.190000000000001</v>
      </c>
      <c r="J109">
        <v>90</v>
      </c>
      <c r="K109">
        <v>91.9</v>
      </c>
    </row>
    <row r="110" spans="1:11" x14ac:dyDescent="0.15">
      <c r="A110" s="1">
        <v>42982</v>
      </c>
      <c r="B110">
        <v>103705</v>
      </c>
      <c r="C110" t="s">
        <v>71</v>
      </c>
      <c r="D110" t="s">
        <v>13</v>
      </c>
      <c r="E110" t="s">
        <v>37</v>
      </c>
      <c r="F110" t="s">
        <v>56</v>
      </c>
      <c r="G110">
        <f t="shared" si="1"/>
        <v>18.36</v>
      </c>
      <c r="H110">
        <v>9</v>
      </c>
      <c r="I110">
        <v>2.04</v>
      </c>
      <c r="J110">
        <v>9</v>
      </c>
      <c r="K110">
        <v>9.36</v>
      </c>
    </row>
    <row r="111" spans="1:11" x14ac:dyDescent="0.15">
      <c r="A111" s="1">
        <v>42995</v>
      </c>
      <c r="B111">
        <v>103723</v>
      </c>
      <c r="C111" t="s">
        <v>143</v>
      </c>
      <c r="D111" t="s">
        <v>13</v>
      </c>
      <c r="E111" t="s">
        <v>37</v>
      </c>
      <c r="F111" t="s">
        <v>56</v>
      </c>
      <c r="G111">
        <f t="shared" si="1"/>
        <v>173.07</v>
      </c>
      <c r="H111">
        <v>3</v>
      </c>
      <c r="I111">
        <v>57.69</v>
      </c>
      <c r="J111">
        <v>86</v>
      </c>
      <c r="K111">
        <v>87.07</v>
      </c>
    </row>
    <row r="112" spans="1:11" x14ac:dyDescent="0.15">
      <c r="A112" s="1">
        <v>42771</v>
      </c>
      <c r="B112">
        <v>103308</v>
      </c>
      <c r="C112" t="s">
        <v>242</v>
      </c>
      <c r="D112" t="s">
        <v>13</v>
      </c>
      <c r="E112" t="s">
        <v>15</v>
      </c>
      <c r="F112" t="s">
        <v>50</v>
      </c>
      <c r="G112">
        <f t="shared" si="1"/>
        <v>616.30000000000007</v>
      </c>
      <c r="H112">
        <v>10</v>
      </c>
      <c r="I112">
        <v>61.63</v>
      </c>
      <c r="J112">
        <v>308</v>
      </c>
      <c r="K112">
        <v>308.30000000000007</v>
      </c>
    </row>
    <row r="113" spans="1:11" x14ac:dyDescent="0.15">
      <c r="A113" s="1">
        <v>42995</v>
      </c>
      <c r="B113">
        <v>103418</v>
      </c>
      <c r="C113" t="s">
        <v>246</v>
      </c>
      <c r="D113" t="s">
        <v>13</v>
      </c>
      <c r="E113" t="s">
        <v>14</v>
      </c>
      <c r="F113" t="s">
        <v>50</v>
      </c>
      <c r="G113">
        <f t="shared" si="1"/>
        <v>639.73</v>
      </c>
      <c r="H113">
        <v>7</v>
      </c>
      <c r="I113">
        <v>91.39</v>
      </c>
      <c r="J113">
        <v>319</v>
      </c>
      <c r="K113">
        <v>320.73</v>
      </c>
    </row>
    <row r="114" spans="1:11" x14ac:dyDescent="0.15">
      <c r="A114" s="1">
        <v>42827</v>
      </c>
      <c r="B114">
        <v>103421</v>
      </c>
      <c r="C114" t="s">
        <v>246</v>
      </c>
      <c r="D114" t="s">
        <v>13</v>
      </c>
      <c r="E114" t="s">
        <v>15</v>
      </c>
      <c r="F114" t="s">
        <v>50</v>
      </c>
      <c r="G114">
        <f t="shared" si="1"/>
        <v>4.0999999999999996</v>
      </c>
      <c r="H114">
        <v>1</v>
      </c>
      <c r="I114">
        <v>4.0999999999999996</v>
      </c>
      <c r="J114">
        <v>2</v>
      </c>
      <c r="K114">
        <v>2.0999999999999996</v>
      </c>
    </row>
    <row r="115" spans="1:11" x14ac:dyDescent="0.15">
      <c r="A115" s="1">
        <v>42712</v>
      </c>
      <c r="B115">
        <v>100062</v>
      </c>
      <c r="C115" t="s">
        <v>46</v>
      </c>
      <c r="D115" t="s">
        <v>13</v>
      </c>
      <c r="E115" t="s">
        <v>14</v>
      </c>
      <c r="F115" t="s">
        <v>11</v>
      </c>
      <c r="G115">
        <f t="shared" si="1"/>
        <v>278.37</v>
      </c>
      <c r="H115">
        <v>9</v>
      </c>
      <c r="I115">
        <v>30.93</v>
      </c>
      <c r="J115">
        <v>139</v>
      </c>
      <c r="K115">
        <v>139.37</v>
      </c>
    </row>
    <row r="116" spans="1:11" x14ac:dyDescent="0.15">
      <c r="A116" s="1">
        <v>42500</v>
      </c>
      <c r="B116">
        <v>100150</v>
      </c>
      <c r="C116" t="s">
        <v>70</v>
      </c>
      <c r="D116" t="s">
        <v>13</v>
      </c>
      <c r="E116" t="s">
        <v>15</v>
      </c>
      <c r="F116" t="s">
        <v>11</v>
      </c>
      <c r="G116">
        <f t="shared" si="1"/>
        <v>509.81</v>
      </c>
      <c r="H116">
        <v>7</v>
      </c>
      <c r="I116">
        <v>72.83</v>
      </c>
      <c r="J116">
        <v>254</v>
      </c>
      <c r="K116">
        <v>255.81</v>
      </c>
    </row>
    <row r="117" spans="1:11" x14ac:dyDescent="0.15">
      <c r="A117" s="1">
        <v>42420</v>
      </c>
      <c r="B117">
        <v>100206</v>
      </c>
      <c r="C117" t="s">
        <v>103</v>
      </c>
      <c r="D117" t="s">
        <v>13</v>
      </c>
      <c r="E117" t="s">
        <v>14</v>
      </c>
      <c r="F117" t="s">
        <v>11</v>
      </c>
      <c r="G117">
        <f t="shared" si="1"/>
        <v>32.24</v>
      </c>
      <c r="H117">
        <v>4</v>
      </c>
      <c r="I117">
        <v>8.06</v>
      </c>
      <c r="J117">
        <v>16</v>
      </c>
      <c r="K117">
        <v>16.240000000000002</v>
      </c>
    </row>
    <row r="118" spans="1:11" x14ac:dyDescent="0.15">
      <c r="A118" s="1">
        <v>42546</v>
      </c>
      <c r="B118">
        <v>100433</v>
      </c>
      <c r="C118" t="s">
        <v>103</v>
      </c>
      <c r="D118" t="s">
        <v>13</v>
      </c>
      <c r="E118" t="s">
        <v>37</v>
      </c>
      <c r="F118" t="s">
        <v>11</v>
      </c>
      <c r="G118">
        <f t="shared" si="1"/>
        <v>499.32</v>
      </c>
      <c r="H118">
        <v>6</v>
      </c>
      <c r="I118">
        <v>83.22</v>
      </c>
      <c r="J118">
        <v>249</v>
      </c>
      <c r="K118">
        <v>250.32</v>
      </c>
    </row>
    <row r="119" spans="1:11" x14ac:dyDescent="0.15">
      <c r="A119" s="1">
        <v>42614</v>
      </c>
      <c r="B119">
        <v>100530</v>
      </c>
      <c r="C119" t="s">
        <v>18</v>
      </c>
      <c r="D119" t="s">
        <v>13</v>
      </c>
      <c r="E119" t="s">
        <v>15</v>
      </c>
      <c r="F119" t="s">
        <v>11</v>
      </c>
      <c r="G119">
        <f t="shared" si="1"/>
        <v>44.96</v>
      </c>
      <c r="H119">
        <v>2</v>
      </c>
      <c r="I119">
        <v>22.48</v>
      </c>
      <c r="J119">
        <v>22</v>
      </c>
      <c r="K119">
        <v>22.96</v>
      </c>
    </row>
    <row r="120" spans="1:11" x14ac:dyDescent="0.15">
      <c r="A120" s="1">
        <v>43100</v>
      </c>
      <c r="B120">
        <v>102809</v>
      </c>
      <c r="C120" t="s">
        <v>176</v>
      </c>
      <c r="D120" t="s">
        <v>13</v>
      </c>
      <c r="E120" t="s">
        <v>15</v>
      </c>
      <c r="F120" t="s">
        <v>11</v>
      </c>
      <c r="G120">
        <f t="shared" si="1"/>
        <v>174.24</v>
      </c>
      <c r="H120">
        <v>9</v>
      </c>
      <c r="I120">
        <v>19.36</v>
      </c>
      <c r="J120">
        <v>87</v>
      </c>
      <c r="K120">
        <v>87.240000000000009</v>
      </c>
    </row>
    <row r="121" spans="1:11" x14ac:dyDescent="0.15">
      <c r="A121" s="1">
        <v>42934</v>
      </c>
      <c r="B121">
        <v>102816</v>
      </c>
      <c r="C121" t="s">
        <v>230</v>
      </c>
      <c r="D121" t="s">
        <v>13</v>
      </c>
      <c r="E121" t="s">
        <v>37</v>
      </c>
      <c r="F121" t="s">
        <v>11</v>
      </c>
      <c r="G121">
        <f t="shared" si="1"/>
        <v>234.06</v>
      </c>
      <c r="H121">
        <v>3</v>
      </c>
      <c r="I121">
        <v>78.02</v>
      </c>
      <c r="J121">
        <v>117</v>
      </c>
      <c r="K121">
        <v>117.06</v>
      </c>
    </row>
    <row r="122" spans="1:11" x14ac:dyDescent="0.15">
      <c r="A122" s="1">
        <v>42804</v>
      </c>
      <c r="B122">
        <v>102824</v>
      </c>
      <c r="C122" t="s">
        <v>148</v>
      </c>
      <c r="D122" t="s">
        <v>13</v>
      </c>
      <c r="E122" t="s">
        <v>14</v>
      </c>
      <c r="F122" t="s">
        <v>11</v>
      </c>
      <c r="G122">
        <f t="shared" si="1"/>
        <v>429.85</v>
      </c>
      <c r="H122">
        <v>5</v>
      </c>
      <c r="I122">
        <v>85.97</v>
      </c>
      <c r="J122">
        <v>214</v>
      </c>
      <c r="K122">
        <v>215.85000000000002</v>
      </c>
    </row>
    <row r="123" spans="1:11" x14ac:dyDescent="0.15">
      <c r="A123" s="1">
        <v>42809</v>
      </c>
      <c r="B123">
        <v>102941</v>
      </c>
      <c r="C123" t="s">
        <v>18</v>
      </c>
      <c r="D123" t="s">
        <v>13</v>
      </c>
      <c r="E123" t="s">
        <v>15</v>
      </c>
      <c r="F123" t="s">
        <v>11</v>
      </c>
      <c r="G123">
        <f t="shared" si="1"/>
        <v>348.48</v>
      </c>
      <c r="H123">
        <v>8</v>
      </c>
      <c r="I123">
        <v>43.56</v>
      </c>
      <c r="J123">
        <v>174</v>
      </c>
      <c r="K123">
        <v>174.48000000000002</v>
      </c>
    </row>
    <row r="124" spans="1:11" x14ac:dyDescent="0.15">
      <c r="A124" s="1">
        <v>43006</v>
      </c>
      <c r="B124">
        <v>102994</v>
      </c>
      <c r="C124" t="s">
        <v>18</v>
      </c>
      <c r="D124" t="s">
        <v>13</v>
      </c>
      <c r="E124" t="s">
        <v>15</v>
      </c>
      <c r="F124" t="s">
        <v>11</v>
      </c>
      <c r="G124">
        <f t="shared" si="1"/>
        <v>905</v>
      </c>
      <c r="H124">
        <v>10</v>
      </c>
      <c r="I124">
        <v>90.5</v>
      </c>
      <c r="J124">
        <v>452</v>
      </c>
      <c r="K124">
        <v>453</v>
      </c>
    </row>
    <row r="125" spans="1:11" x14ac:dyDescent="0.15">
      <c r="A125" s="1">
        <v>43088</v>
      </c>
      <c r="B125">
        <v>103011</v>
      </c>
      <c r="C125" t="s">
        <v>217</v>
      </c>
      <c r="D125" t="s">
        <v>13</v>
      </c>
      <c r="E125" t="s">
        <v>15</v>
      </c>
      <c r="F125" t="s">
        <v>11</v>
      </c>
      <c r="G125">
        <f t="shared" si="1"/>
        <v>118.17</v>
      </c>
      <c r="H125">
        <v>3</v>
      </c>
      <c r="I125">
        <v>39.39</v>
      </c>
      <c r="J125">
        <v>59</v>
      </c>
      <c r="K125">
        <v>59.17</v>
      </c>
    </row>
    <row r="126" spans="1:11" x14ac:dyDescent="0.15">
      <c r="A126" s="1">
        <v>42930</v>
      </c>
      <c r="B126">
        <v>103023</v>
      </c>
      <c r="C126" t="s">
        <v>61</v>
      </c>
      <c r="D126" t="s">
        <v>13</v>
      </c>
      <c r="E126" t="s">
        <v>37</v>
      </c>
      <c r="F126" t="s">
        <v>11</v>
      </c>
      <c r="G126">
        <f t="shared" si="1"/>
        <v>213.12</v>
      </c>
      <c r="H126">
        <v>3</v>
      </c>
      <c r="I126">
        <v>71.040000000000006</v>
      </c>
      <c r="J126">
        <v>106</v>
      </c>
      <c r="K126">
        <v>107.12</v>
      </c>
    </row>
    <row r="127" spans="1:11" x14ac:dyDescent="0.15">
      <c r="A127" s="1">
        <v>42741</v>
      </c>
      <c r="B127">
        <v>103045</v>
      </c>
      <c r="C127" t="s">
        <v>61</v>
      </c>
      <c r="D127" t="s">
        <v>13</v>
      </c>
      <c r="E127" t="s">
        <v>15</v>
      </c>
      <c r="F127" t="s">
        <v>11</v>
      </c>
      <c r="G127">
        <f t="shared" si="1"/>
        <v>439.39000000000004</v>
      </c>
      <c r="H127">
        <v>7</v>
      </c>
      <c r="I127">
        <v>62.77</v>
      </c>
      <c r="J127">
        <v>219</v>
      </c>
      <c r="K127">
        <v>220.39000000000004</v>
      </c>
    </row>
    <row r="128" spans="1:11" x14ac:dyDescent="0.15">
      <c r="A128" s="1">
        <v>42799</v>
      </c>
      <c r="B128">
        <v>103079</v>
      </c>
      <c r="C128" t="s">
        <v>148</v>
      </c>
      <c r="D128" t="s">
        <v>13</v>
      </c>
      <c r="E128" t="s">
        <v>37</v>
      </c>
      <c r="F128" t="s">
        <v>11</v>
      </c>
      <c r="G128">
        <f t="shared" si="1"/>
        <v>576.70000000000005</v>
      </c>
      <c r="H128">
        <v>10</v>
      </c>
      <c r="I128">
        <v>57.67</v>
      </c>
      <c r="J128">
        <v>288</v>
      </c>
      <c r="K128">
        <v>288.70000000000005</v>
      </c>
    </row>
    <row r="129" spans="1:11" x14ac:dyDescent="0.15">
      <c r="A129" s="1">
        <v>43036</v>
      </c>
      <c r="B129">
        <v>103182</v>
      </c>
      <c r="C129" t="s">
        <v>18</v>
      </c>
      <c r="D129" t="s">
        <v>13</v>
      </c>
      <c r="E129" t="s">
        <v>15</v>
      </c>
      <c r="F129" t="s">
        <v>11</v>
      </c>
      <c r="G129">
        <f t="shared" si="1"/>
        <v>49.58</v>
      </c>
      <c r="H129">
        <v>2</v>
      </c>
      <c r="I129">
        <v>24.79</v>
      </c>
      <c r="J129">
        <v>24</v>
      </c>
      <c r="K129">
        <v>25.58</v>
      </c>
    </row>
    <row r="130" spans="1:11" x14ac:dyDescent="0.15">
      <c r="A130" s="1">
        <v>42742</v>
      </c>
      <c r="B130">
        <v>103360</v>
      </c>
      <c r="C130" t="s">
        <v>103</v>
      </c>
      <c r="D130" t="s">
        <v>13</v>
      </c>
      <c r="E130" t="s">
        <v>37</v>
      </c>
      <c r="F130" t="s">
        <v>11</v>
      </c>
      <c r="G130">
        <f t="shared" si="1"/>
        <v>161</v>
      </c>
      <c r="H130">
        <v>7</v>
      </c>
      <c r="I130">
        <v>23</v>
      </c>
      <c r="J130">
        <v>80</v>
      </c>
      <c r="K130">
        <v>81</v>
      </c>
    </row>
    <row r="131" spans="1:11" x14ac:dyDescent="0.15">
      <c r="A131" s="1">
        <v>42829</v>
      </c>
      <c r="B131">
        <v>103386</v>
      </c>
      <c r="C131" t="s">
        <v>28</v>
      </c>
      <c r="D131" t="s">
        <v>13</v>
      </c>
      <c r="E131" t="s">
        <v>15</v>
      </c>
      <c r="F131" t="s">
        <v>11</v>
      </c>
      <c r="G131">
        <f t="shared" ref="G131:G194" si="2">H131*I131</f>
        <v>88.98</v>
      </c>
      <c r="H131">
        <v>2</v>
      </c>
      <c r="I131">
        <v>44.49</v>
      </c>
      <c r="J131">
        <v>44</v>
      </c>
      <c r="K131">
        <v>44.980000000000004</v>
      </c>
    </row>
    <row r="132" spans="1:11" x14ac:dyDescent="0.15">
      <c r="A132" s="1">
        <v>43025</v>
      </c>
      <c r="B132">
        <v>103503</v>
      </c>
      <c r="C132" t="s">
        <v>176</v>
      </c>
      <c r="D132" t="s">
        <v>13</v>
      </c>
      <c r="E132" t="s">
        <v>37</v>
      </c>
      <c r="F132" t="s">
        <v>11</v>
      </c>
      <c r="G132">
        <f t="shared" si="2"/>
        <v>2.82</v>
      </c>
      <c r="H132">
        <v>2</v>
      </c>
      <c r="I132">
        <v>1.41</v>
      </c>
      <c r="J132">
        <v>1</v>
      </c>
      <c r="K132">
        <v>1.8199999999999998</v>
      </c>
    </row>
    <row r="133" spans="1:11" x14ac:dyDescent="0.15">
      <c r="A133" s="1">
        <v>42993</v>
      </c>
      <c r="B133">
        <v>103583</v>
      </c>
      <c r="C133" t="s">
        <v>148</v>
      </c>
      <c r="D133" t="s">
        <v>13</v>
      </c>
      <c r="E133" t="s">
        <v>14</v>
      </c>
      <c r="F133" t="s">
        <v>11</v>
      </c>
      <c r="G133">
        <f t="shared" si="2"/>
        <v>3.43</v>
      </c>
      <c r="H133">
        <v>1</v>
      </c>
      <c r="I133">
        <v>3.43</v>
      </c>
      <c r="J133">
        <v>1</v>
      </c>
      <c r="K133">
        <v>2.4300000000000002</v>
      </c>
    </row>
    <row r="134" spans="1:11" x14ac:dyDescent="0.15">
      <c r="A134" s="1">
        <v>42855</v>
      </c>
      <c r="B134">
        <v>103642</v>
      </c>
      <c r="C134" t="s">
        <v>70</v>
      </c>
      <c r="D134" t="s">
        <v>13</v>
      </c>
      <c r="E134" t="s">
        <v>15</v>
      </c>
      <c r="F134" t="s">
        <v>11</v>
      </c>
      <c r="G134">
        <f t="shared" si="2"/>
        <v>597.59</v>
      </c>
      <c r="H134">
        <v>7</v>
      </c>
      <c r="I134">
        <v>85.37</v>
      </c>
      <c r="J134">
        <v>298</v>
      </c>
      <c r="K134">
        <v>299.59000000000003</v>
      </c>
    </row>
    <row r="135" spans="1:11" x14ac:dyDescent="0.15">
      <c r="A135" s="1">
        <v>42970</v>
      </c>
      <c r="B135">
        <v>103651</v>
      </c>
      <c r="C135" t="s">
        <v>12</v>
      </c>
      <c r="D135" t="s">
        <v>13</v>
      </c>
      <c r="E135" t="s">
        <v>37</v>
      </c>
      <c r="F135" t="s">
        <v>11</v>
      </c>
      <c r="G135">
        <f t="shared" si="2"/>
        <v>153.05000000000001</v>
      </c>
      <c r="H135">
        <v>5</v>
      </c>
      <c r="I135">
        <v>30.61</v>
      </c>
      <c r="J135">
        <v>76</v>
      </c>
      <c r="K135">
        <v>77.050000000000011</v>
      </c>
    </row>
    <row r="136" spans="1:11" x14ac:dyDescent="0.15">
      <c r="A136" s="1">
        <v>42950</v>
      </c>
      <c r="B136">
        <v>103678</v>
      </c>
      <c r="C136" t="s">
        <v>205</v>
      </c>
      <c r="D136" t="s">
        <v>13</v>
      </c>
      <c r="E136" t="s">
        <v>14</v>
      </c>
      <c r="F136" t="s">
        <v>11</v>
      </c>
      <c r="G136">
        <f t="shared" si="2"/>
        <v>570.24</v>
      </c>
      <c r="H136">
        <v>8</v>
      </c>
      <c r="I136">
        <v>71.28</v>
      </c>
      <c r="J136">
        <v>285</v>
      </c>
      <c r="K136">
        <v>285.24</v>
      </c>
    </row>
    <row r="137" spans="1:11" x14ac:dyDescent="0.15">
      <c r="A137" s="1">
        <v>42858</v>
      </c>
      <c r="B137">
        <v>103697</v>
      </c>
      <c r="C137" t="s">
        <v>205</v>
      </c>
      <c r="D137" t="s">
        <v>13</v>
      </c>
      <c r="E137" t="s">
        <v>37</v>
      </c>
      <c r="F137" t="s">
        <v>11</v>
      </c>
      <c r="G137">
        <f t="shared" si="2"/>
        <v>35.229999999999997</v>
      </c>
      <c r="H137">
        <v>1</v>
      </c>
      <c r="I137">
        <v>35.229999999999997</v>
      </c>
      <c r="J137">
        <v>17</v>
      </c>
      <c r="K137">
        <v>18.229999999999997</v>
      </c>
    </row>
    <row r="138" spans="1:11" x14ac:dyDescent="0.15">
      <c r="A138" s="1">
        <v>42427</v>
      </c>
      <c r="B138">
        <v>100007</v>
      </c>
      <c r="C138" t="s">
        <v>19</v>
      </c>
      <c r="D138" t="s">
        <v>13</v>
      </c>
      <c r="E138" t="s">
        <v>15</v>
      </c>
      <c r="F138" t="s">
        <v>17</v>
      </c>
      <c r="G138">
        <f t="shared" si="2"/>
        <v>27.32</v>
      </c>
      <c r="H138">
        <v>1</v>
      </c>
      <c r="I138">
        <v>27.32</v>
      </c>
      <c r="J138">
        <v>13</v>
      </c>
      <c r="K138">
        <v>14.32</v>
      </c>
    </row>
    <row r="139" spans="1:11" x14ac:dyDescent="0.15">
      <c r="A139" s="1">
        <v>42615</v>
      </c>
      <c r="B139">
        <v>100008</v>
      </c>
      <c r="C139" t="s">
        <v>20</v>
      </c>
      <c r="D139" t="s">
        <v>13</v>
      </c>
      <c r="E139" t="s">
        <v>14</v>
      </c>
      <c r="F139" t="s">
        <v>17</v>
      </c>
      <c r="G139">
        <f t="shared" si="2"/>
        <v>362.88</v>
      </c>
      <c r="H139">
        <v>8</v>
      </c>
      <c r="I139">
        <v>45.36</v>
      </c>
      <c r="J139">
        <v>181</v>
      </c>
      <c r="K139">
        <v>181.88</v>
      </c>
    </row>
    <row r="140" spans="1:11" x14ac:dyDescent="0.15">
      <c r="A140" s="1">
        <v>42653</v>
      </c>
      <c r="B140">
        <v>100028</v>
      </c>
      <c r="C140" t="s">
        <v>30</v>
      </c>
      <c r="D140" t="s">
        <v>13</v>
      </c>
      <c r="E140" t="s">
        <v>14</v>
      </c>
      <c r="F140" t="s">
        <v>17</v>
      </c>
      <c r="G140">
        <f t="shared" si="2"/>
        <v>393.6</v>
      </c>
      <c r="H140">
        <v>4</v>
      </c>
      <c r="I140">
        <v>98.4</v>
      </c>
      <c r="J140">
        <v>196</v>
      </c>
      <c r="K140">
        <v>197.60000000000002</v>
      </c>
    </row>
    <row r="141" spans="1:11" x14ac:dyDescent="0.15">
      <c r="A141" s="1">
        <v>42455</v>
      </c>
      <c r="B141">
        <v>100050</v>
      </c>
      <c r="C141" t="s">
        <v>40</v>
      </c>
      <c r="D141" t="s">
        <v>13</v>
      </c>
      <c r="E141" t="s">
        <v>15</v>
      </c>
      <c r="F141" t="s">
        <v>17</v>
      </c>
      <c r="G141">
        <f t="shared" si="2"/>
        <v>227.15</v>
      </c>
      <c r="H141">
        <v>5</v>
      </c>
      <c r="I141">
        <v>45.43</v>
      </c>
      <c r="J141">
        <v>113</v>
      </c>
      <c r="K141">
        <v>114.15</v>
      </c>
    </row>
    <row r="142" spans="1:11" x14ac:dyDescent="0.15">
      <c r="A142" s="1">
        <v>42446</v>
      </c>
      <c r="B142">
        <v>100055</v>
      </c>
      <c r="C142" t="s">
        <v>42</v>
      </c>
      <c r="D142" t="s">
        <v>13</v>
      </c>
      <c r="E142" t="s">
        <v>15</v>
      </c>
      <c r="F142" t="s">
        <v>17</v>
      </c>
      <c r="G142">
        <f t="shared" si="2"/>
        <v>330.68</v>
      </c>
      <c r="H142">
        <v>4</v>
      </c>
      <c r="I142">
        <v>82.67</v>
      </c>
      <c r="J142">
        <v>165</v>
      </c>
      <c r="K142">
        <v>165.68</v>
      </c>
    </row>
    <row r="143" spans="1:11" x14ac:dyDescent="0.15">
      <c r="A143" s="1">
        <v>42712</v>
      </c>
      <c r="B143">
        <v>100062</v>
      </c>
      <c r="C143" t="s">
        <v>45</v>
      </c>
      <c r="D143" t="s">
        <v>13</v>
      </c>
      <c r="E143" t="s">
        <v>14</v>
      </c>
      <c r="F143" t="s">
        <v>17</v>
      </c>
      <c r="G143">
        <f t="shared" si="2"/>
        <v>595.16999999999996</v>
      </c>
      <c r="H143">
        <v>9</v>
      </c>
      <c r="I143">
        <v>66.13</v>
      </c>
      <c r="J143">
        <v>297</v>
      </c>
      <c r="K143">
        <v>298.16999999999996</v>
      </c>
    </row>
    <row r="144" spans="1:11" x14ac:dyDescent="0.15">
      <c r="A144" s="1">
        <v>42581</v>
      </c>
      <c r="B144">
        <v>100085</v>
      </c>
      <c r="C144" t="s">
        <v>54</v>
      </c>
      <c r="D144" t="s">
        <v>13</v>
      </c>
      <c r="E144" t="s">
        <v>15</v>
      </c>
      <c r="F144" t="s">
        <v>17</v>
      </c>
      <c r="G144">
        <f t="shared" si="2"/>
        <v>136.24</v>
      </c>
      <c r="H144">
        <v>8</v>
      </c>
      <c r="I144">
        <v>17.03</v>
      </c>
      <c r="J144">
        <v>68</v>
      </c>
      <c r="K144">
        <v>68.240000000000009</v>
      </c>
    </row>
    <row r="145" spans="1:11" x14ac:dyDescent="0.15">
      <c r="A145" s="1">
        <v>42445</v>
      </c>
      <c r="B145">
        <v>100093</v>
      </c>
      <c r="C145" t="s">
        <v>59</v>
      </c>
      <c r="D145" t="s">
        <v>13</v>
      </c>
      <c r="E145" t="s">
        <v>14</v>
      </c>
      <c r="F145" t="s">
        <v>17</v>
      </c>
      <c r="G145">
        <f t="shared" si="2"/>
        <v>10.28</v>
      </c>
      <c r="H145">
        <v>2</v>
      </c>
      <c r="I145">
        <v>5.14</v>
      </c>
      <c r="J145">
        <v>5</v>
      </c>
      <c r="K145">
        <v>5.2799999999999994</v>
      </c>
    </row>
    <row r="146" spans="1:11" x14ac:dyDescent="0.15">
      <c r="A146" s="1">
        <v>42378</v>
      </c>
      <c r="B146">
        <v>100114</v>
      </c>
      <c r="C146" t="s">
        <v>69</v>
      </c>
      <c r="D146" t="s">
        <v>13</v>
      </c>
      <c r="E146" t="s">
        <v>15</v>
      </c>
      <c r="F146" t="s">
        <v>17</v>
      </c>
      <c r="G146">
        <f t="shared" si="2"/>
        <v>73.569999999999993</v>
      </c>
      <c r="H146">
        <v>1</v>
      </c>
      <c r="I146">
        <v>73.569999999999993</v>
      </c>
      <c r="J146">
        <v>36</v>
      </c>
      <c r="K146">
        <v>37.569999999999993</v>
      </c>
    </row>
    <row r="147" spans="1:11" x14ac:dyDescent="0.15">
      <c r="A147" s="1">
        <v>42641</v>
      </c>
      <c r="B147">
        <v>100159</v>
      </c>
      <c r="C147" t="s">
        <v>86</v>
      </c>
      <c r="D147" t="s">
        <v>13</v>
      </c>
      <c r="E147" t="s">
        <v>15</v>
      </c>
      <c r="F147" t="s">
        <v>17</v>
      </c>
      <c r="G147">
        <f t="shared" si="2"/>
        <v>152.91</v>
      </c>
      <c r="H147">
        <v>3</v>
      </c>
      <c r="I147">
        <v>50.97</v>
      </c>
      <c r="J147">
        <v>76</v>
      </c>
      <c r="K147">
        <v>76.91</v>
      </c>
    </row>
    <row r="148" spans="1:11" x14ac:dyDescent="0.15">
      <c r="A148" s="1">
        <v>42570</v>
      </c>
      <c r="B148">
        <v>100169</v>
      </c>
      <c r="C148" t="s">
        <v>88</v>
      </c>
      <c r="D148" t="s">
        <v>13</v>
      </c>
      <c r="E148" t="s">
        <v>14</v>
      </c>
      <c r="F148" t="s">
        <v>17</v>
      </c>
      <c r="G148">
        <f t="shared" si="2"/>
        <v>131.30000000000001</v>
      </c>
      <c r="H148">
        <v>5</v>
      </c>
      <c r="I148">
        <v>26.26</v>
      </c>
      <c r="J148">
        <v>65</v>
      </c>
      <c r="K148">
        <v>66.300000000000011</v>
      </c>
    </row>
    <row r="149" spans="1:11" x14ac:dyDescent="0.15">
      <c r="A149" s="1">
        <v>42495</v>
      </c>
      <c r="B149">
        <v>100185</v>
      </c>
      <c r="C149" t="s">
        <v>94</v>
      </c>
      <c r="D149" t="s">
        <v>13</v>
      </c>
      <c r="E149" t="s">
        <v>14</v>
      </c>
      <c r="F149" t="s">
        <v>17</v>
      </c>
      <c r="G149">
        <f t="shared" si="2"/>
        <v>249.12</v>
      </c>
      <c r="H149">
        <v>8</v>
      </c>
      <c r="I149">
        <v>31.14</v>
      </c>
      <c r="J149">
        <v>124</v>
      </c>
      <c r="K149">
        <v>125.12</v>
      </c>
    </row>
    <row r="150" spans="1:11" x14ac:dyDescent="0.15">
      <c r="A150" s="1">
        <v>42401</v>
      </c>
      <c r="B150">
        <v>100194</v>
      </c>
      <c r="C150" t="s">
        <v>98</v>
      </c>
      <c r="D150" t="s">
        <v>13</v>
      </c>
      <c r="E150" t="s">
        <v>15</v>
      </c>
      <c r="F150" t="s">
        <v>17</v>
      </c>
      <c r="G150">
        <f t="shared" si="2"/>
        <v>437.6</v>
      </c>
      <c r="H150">
        <v>8</v>
      </c>
      <c r="I150">
        <v>54.7</v>
      </c>
      <c r="J150">
        <v>218</v>
      </c>
      <c r="K150">
        <v>219.60000000000002</v>
      </c>
    </row>
    <row r="151" spans="1:11" x14ac:dyDescent="0.15">
      <c r="A151" s="1">
        <v>42616</v>
      </c>
      <c r="B151">
        <v>100279</v>
      </c>
      <c r="C151" t="s">
        <v>120</v>
      </c>
      <c r="D151" t="s">
        <v>13</v>
      </c>
      <c r="E151" t="s">
        <v>15</v>
      </c>
      <c r="F151" t="s">
        <v>17</v>
      </c>
      <c r="G151">
        <f t="shared" si="2"/>
        <v>47.29</v>
      </c>
      <c r="H151">
        <v>1</v>
      </c>
      <c r="I151">
        <v>47.29</v>
      </c>
      <c r="J151">
        <v>23</v>
      </c>
      <c r="K151">
        <v>24.29</v>
      </c>
    </row>
    <row r="152" spans="1:11" x14ac:dyDescent="0.15">
      <c r="A152" s="1">
        <v>42639</v>
      </c>
      <c r="B152">
        <v>100423</v>
      </c>
      <c r="C152" t="s">
        <v>84</v>
      </c>
      <c r="D152" t="s">
        <v>13</v>
      </c>
      <c r="E152" t="s">
        <v>14</v>
      </c>
      <c r="F152" t="s">
        <v>17</v>
      </c>
      <c r="G152">
        <f t="shared" si="2"/>
        <v>219</v>
      </c>
      <c r="H152">
        <v>10</v>
      </c>
      <c r="I152">
        <v>21.9</v>
      </c>
      <c r="J152">
        <v>109</v>
      </c>
      <c r="K152">
        <v>110</v>
      </c>
    </row>
    <row r="153" spans="1:11" x14ac:dyDescent="0.15">
      <c r="A153" s="1">
        <v>42438</v>
      </c>
      <c r="B153">
        <v>100500</v>
      </c>
      <c r="C153" t="s">
        <v>107</v>
      </c>
      <c r="D153" t="s">
        <v>13</v>
      </c>
      <c r="E153" t="s">
        <v>37</v>
      </c>
      <c r="F153" t="s">
        <v>17</v>
      </c>
      <c r="G153">
        <f t="shared" si="2"/>
        <v>454.02</v>
      </c>
      <c r="H153">
        <v>7</v>
      </c>
      <c r="I153">
        <v>64.86</v>
      </c>
      <c r="J153">
        <v>227</v>
      </c>
      <c r="K153">
        <v>227.01999999999998</v>
      </c>
    </row>
    <row r="154" spans="1:11" x14ac:dyDescent="0.15">
      <c r="A154" s="1">
        <v>42497</v>
      </c>
      <c r="B154">
        <v>100504</v>
      </c>
      <c r="C154" t="s">
        <v>59</v>
      </c>
      <c r="D154" t="s">
        <v>13</v>
      </c>
      <c r="E154" t="s">
        <v>14</v>
      </c>
      <c r="F154" t="s">
        <v>17</v>
      </c>
      <c r="G154">
        <f t="shared" si="2"/>
        <v>599.6</v>
      </c>
      <c r="H154">
        <v>10</v>
      </c>
      <c r="I154">
        <v>59.96</v>
      </c>
      <c r="J154">
        <v>299</v>
      </c>
      <c r="K154">
        <v>300.60000000000002</v>
      </c>
    </row>
    <row r="155" spans="1:11" x14ac:dyDescent="0.15">
      <c r="A155" s="1">
        <v>42726</v>
      </c>
      <c r="B155">
        <v>100529</v>
      </c>
      <c r="C155" t="s">
        <v>171</v>
      </c>
      <c r="D155" t="s">
        <v>13</v>
      </c>
      <c r="E155" t="s">
        <v>14</v>
      </c>
      <c r="F155" t="s">
        <v>17</v>
      </c>
      <c r="G155">
        <f t="shared" si="2"/>
        <v>15.48</v>
      </c>
      <c r="H155">
        <v>1</v>
      </c>
      <c r="I155">
        <v>15.48</v>
      </c>
      <c r="J155">
        <v>7</v>
      </c>
      <c r="K155">
        <v>8.48</v>
      </c>
    </row>
    <row r="156" spans="1:11" x14ac:dyDescent="0.15">
      <c r="A156" s="1">
        <v>42653</v>
      </c>
      <c r="B156">
        <v>100538</v>
      </c>
      <c r="C156" t="s">
        <v>29</v>
      </c>
      <c r="D156" t="s">
        <v>13</v>
      </c>
      <c r="E156" t="s">
        <v>15</v>
      </c>
      <c r="F156" t="s">
        <v>17</v>
      </c>
      <c r="G156">
        <f t="shared" si="2"/>
        <v>62.31</v>
      </c>
      <c r="H156">
        <v>1</v>
      </c>
      <c r="I156">
        <v>62.31</v>
      </c>
      <c r="J156">
        <v>31</v>
      </c>
      <c r="K156">
        <v>31.310000000000002</v>
      </c>
    </row>
    <row r="157" spans="1:11" x14ac:dyDescent="0.15">
      <c r="A157" s="1">
        <v>42586</v>
      </c>
      <c r="B157">
        <v>100565</v>
      </c>
      <c r="C157" t="s">
        <v>151</v>
      </c>
      <c r="D157" t="s">
        <v>13</v>
      </c>
      <c r="E157" t="s">
        <v>15</v>
      </c>
      <c r="F157" t="s">
        <v>17</v>
      </c>
      <c r="G157">
        <f t="shared" si="2"/>
        <v>185.28</v>
      </c>
      <c r="H157">
        <v>4</v>
      </c>
      <c r="I157">
        <v>46.32</v>
      </c>
      <c r="J157">
        <v>92</v>
      </c>
      <c r="K157">
        <v>93.28</v>
      </c>
    </row>
    <row r="158" spans="1:11" x14ac:dyDescent="0.15">
      <c r="A158" s="1">
        <v>42904</v>
      </c>
      <c r="B158">
        <v>102702</v>
      </c>
      <c r="C158" t="s">
        <v>40</v>
      </c>
      <c r="D158" t="s">
        <v>13</v>
      </c>
      <c r="E158" t="s">
        <v>14</v>
      </c>
      <c r="F158" t="s">
        <v>17</v>
      </c>
      <c r="G158">
        <f t="shared" si="2"/>
        <v>92.4</v>
      </c>
      <c r="H158">
        <v>6</v>
      </c>
      <c r="I158">
        <v>15.4</v>
      </c>
      <c r="J158">
        <v>46</v>
      </c>
      <c r="K158">
        <v>46.400000000000006</v>
      </c>
    </row>
    <row r="159" spans="1:11" x14ac:dyDescent="0.15">
      <c r="A159" s="1">
        <v>42803</v>
      </c>
      <c r="B159">
        <v>102734</v>
      </c>
      <c r="C159" t="s">
        <v>212</v>
      </c>
      <c r="D159" t="s">
        <v>13</v>
      </c>
      <c r="E159" t="s">
        <v>15</v>
      </c>
      <c r="F159" t="s">
        <v>17</v>
      </c>
      <c r="G159">
        <f t="shared" si="2"/>
        <v>221.9</v>
      </c>
      <c r="H159">
        <v>7</v>
      </c>
      <c r="I159">
        <v>31.7</v>
      </c>
      <c r="J159">
        <v>110</v>
      </c>
      <c r="K159">
        <v>111.9</v>
      </c>
    </row>
    <row r="160" spans="1:11" x14ac:dyDescent="0.15">
      <c r="A160" s="1">
        <v>43070</v>
      </c>
      <c r="B160">
        <v>102785</v>
      </c>
      <c r="C160" t="s">
        <v>229</v>
      </c>
      <c r="D160" t="s">
        <v>13</v>
      </c>
      <c r="E160" t="s">
        <v>15</v>
      </c>
      <c r="F160" t="s">
        <v>17</v>
      </c>
      <c r="G160">
        <f t="shared" si="2"/>
        <v>277.69</v>
      </c>
      <c r="H160">
        <v>7</v>
      </c>
      <c r="I160">
        <v>39.67</v>
      </c>
      <c r="J160">
        <v>138</v>
      </c>
      <c r="K160">
        <v>139.69</v>
      </c>
    </row>
    <row r="161" spans="1:11" x14ac:dyDescent="0.15">
      <c r="A161" s="1">
        <v>42740</v>
      </c>
      <c r="B161">
        <v>102833</v>
      </c>
      <c r="C161" t="s">
        <v>180</v>
      </c>
      <c r="D161" t="s">
        <v>13</v>
      </c>
      <c r="E161" t="s">
        <v>37</v>
      </c>
      <c r="F161" t="s">
        <v>17</v>
      </c>
      <c r="G161">
        <f t="shared" si="2"/>
        <v>199.56</v>
      </c>
      <c r="H161">
        <v>3</v>
      </c>
      <c r="I161">
        <v>66.52</v>
      </c>
      <c r="J161">
        <v>99</v>
      </c>
      <c r="K161">
        <v>100.56</v>
      </c>
    </row>
    <row r="162" spans="1:11" x14ac:dyDescent="0.15">
      <c r="A162" s="1">
        <v>43074</v>
      </c>
      <c r="B162">
        <v>102913</v>
      </c>
      <c r="C162" t="s">
        <v>199</v>
      </c>
      <c r="D162" t="s">
        <v>13</v>
      </c>
      <c r="E162" t="s">
        <v>37</v>
      </c>
      <c r="F162" t="s">
        <v>17</v>
      </c>
      <c r="G162">
        <f t="shared" si="2"/>
        <v>301.92</v>
      </c>
      <c r="H162">
        <v>8</v>
      </c>
      <c r="I162">
        <v>37.74</v>
      </c>
      <c r="J162">
        <v>150</v>
      </c>
      <c r="K162">
        <v>151.92000000000002</v>
      </c>
    </row>
    <row r="163" spans="1:11" x14ac:dyDescent="0.15">
      <c r="A163" s="1">
        <v>42809</v>
      </c>
      <c r="B163">
        <v>102941</v>
      </c>
      <c r="C163" t="s">
        <v>84</v>
      </c>
      <c r="D163" t="s">
        <v>13</v>
      </c>
      <c r="E163" t="s">
        <v>15</v>
      </c>
      <c r="F163" t="s">
        <v>17</v>
      </c>
      <c r="G163">
        <f t="shared" si="2"/>
        <v>309.14999999999998</v>
      </c>
      <c r="H163">
        <v>5</v>
      </c>
      <c r="I163">
        <v>61.83</v>
      </c>
      <c r="J163">
        <v>154</v>
      </c>
      <c r="K163">
        <v>155.14999999999998</v>
      </c>
    </row>
    <row r="164" spans="1:11" x14ac:dyDescent="0.15">
      <c r="A164" s="1">
        <v>43077</v>
      </c>
      <c r="B164">
        <v>102953</v>
      </c>
      <c r="C164" t="s">
        <v>218</v>
      </c>
      <c r="D164" t="s">
        <v>13</v>
      </c>
      <c r="E164" t="s">
        <v>14</v>
      </c>
      <c r="F164" t="s">
        <v>17</v>
      </c>
      <c r="G164">
        <f t="shared" si="2"/>
        <v>294.36</v>
      </c>
      <c r="H164">
        <v>3</v>
      </c>
      <c r="I164">
        <v>98.12</v>
      </c>
      <c r="J164">
        <v>147</v>
      </c>
      <c r="K164">
        <v>147.36000000000001</v>
      </c>
    </row>
    <row r="165" spans="1:11" x14ac:dyDescent="0.15">
      <c r="A165" s="1">
        <v>43064</v>
      </c>
      <c r="B165">
        <v>102971</v>
      </c>
      <c r="C165" t="s">
        <v>204</v>
      </c>
      <c r="D165" t="s">
        <v>13</v>
      </c>
      <c r="E165" t="s">
        <v>14</v>
      </c>
      <c r="F165" t="s">
        <v>17</v>
      </c>
      <c r="G165">
        <f t="shared" si="2"/>
        <v>197.33</v>
      </c>
      <c r="H165">
        <v>7</v>
      </c>
      <c r="I165">
        <v>28.19</v>
      </c>
      <c r="J165">
        <v>98</v>
      </c>
      <c r="K165">
        <v>99.330000000000013</v>
      </c>
    </row>
    <row r="166" spans="1:11" x14ac:dyDescent="0.15">
      <c r="A166" s="1">
        <v>43052</v>
      </c>
      <c r="B166">
        <v>103008</v>
      </c>
      <c r="C166" t="s">
        <v>95</v>
      </c>
      <c r="D166" t="s">
        <v>13</v>
      </c>
      <c r="E166" t="s">
        <v>37</v>
      </c>
      <c r="F166" t="s">
        <v>17</v>
      </c>
      <c r="G166">
        <f t="shared" si="2"/>
        <v>376.48</v>
      </c>
      <c r="H166">
        <v>4</v>
      </c>
      <c r="I166">
        <v>94.12</v>
      </c>
      <c r="J166">
        <v>188</v>
      </c>
      <c r="K166">
        <v>188.48000000000002</v>
      </c>
    </row>
    <row r="167" spans="1:11" x14ac:dyDescent="0.15">
      <c r="A167" s="1">
        <v>42810</v>
      </c>
      <c r="B167">
        <v>103051</v>
      </c>
      <c r="C167" t="s">
        <v>208</v>
      </c>
      <c r="D167" t="s">
        <v>13</v>
      </c>
      <c r="E167" t="s">
        <v>15</v>
      </c>
      <c r="F167" t="s">
        <v>17</v>
      </c>
      <c r="G167">
        <f t="shared" si="2"/>
        <v>224.07</v>
      </c>
      <c r="H167">
        <v>3</v>
      </c>
      <c r="I167">
        <v>74.69</v>
      </c>
      <c r="J167">
        <v>112</v>
      </c>
      <c r="K167">
        <v>112.07</v>
      </c>
    </row>
    <row r="168" spans="1:11" x14ac:dyDescent="0.15">
      <c r="A168" s="1">
        <v>42810</v>
      </c>
      <c r="B168">
        <v>103075</v>
      </c>
      <c r="C168" t="s">
        <v>207</v>
      </c>
      <c r="D168" t="s">
        <v>13</v>
      </c>
      <c r="E168" t="s">
        <v>15</v>
      </c>
      <c r="F168" t="s">
        <v>17</v>
      </c>
      <c r="G168">
        <f t="shared" si="2"/>
        <v>146.4</v>
      </c>
      <c r="H168">
        <v>2</v>
      </c>
      <c r="I168">
        <v>73.2</v>
      </c>
      <c r="J168">
        <v>73</v>
      </c>
      <c r="K168">
        <v>73.400000000000006</v>
      </c>
    </row>
    <row r="169" spans="1:11" x14ac:dyDescent="0.15">
      <c r="A169" s="1">
        <v>42799</v>
      </c>
      <c r="B169">
        <v>103079</v>
      </c>
      <c r="C169" t="s">
        <v>132</v>
      </c>
      <c r="D169" t="s">
        <v>13</v>
      </c>
      <c r="E169" t="s">
        <v>37</v>
      </c>
      <c r="F169" t="s">
        <v>17</v>
      </c>
      <c r="G169">
        <f t="shared" si="2"/>
        <v>22.400000000000002</v>
      </c>
      <c r="H169">
        <v>7</v>
      </c>
      <c r="I169">
        <v>3.2</v>
      </c>
      <c r="J169">
        <v>11</v>
      </c>
      <c r="K169">
        <v>11.400000000000002</v>
      </c>
    </row>
    <row r="170" spans="1:11" x14ac:dyDescent="0.15">
      <c r="A170" s="1">
        <v>42939</v>
      </c>
      <c r="B170">
        <v>103087</v>
      </c>
      <c r="C170" t="s">
        <v>166</v>
      </c>
      <c r="D170" t="s">
        <v>13</v>
      </c>
      <c r="E170" t="s">
        <v>37</v>
      </c>
      <c r="F170" t="s">
        <v>17</v>
      </c>
      <c r="G170">
        <f t="shared" si="2"/>
        <v>105.84</v>
      </c>
      <c r="H170">
        <v>2</v>
      </c>
      <c r="I170">
        <v>52.92</v>
      </c>
      <c r="J170">
        <v>52</v>
      </c>
      <c r="K170">
        <v>53.84</v>
      </c>
    </row>
    <row r="171" spans="1:11" x14ac:dyDescent="0.15">
      <c r="A171" s="1">
        <v>42763</v>
      </c>
      <c r="B171">
        <v>103103</v>
      </c>
      <c r="C171" t="s">
        <v>224</v>
      </c>
      <c r="D171" t="s">
        <v>13</v>
      </c>
      <c r="E171" t="s">
        <v>37</v>
      </c>
      <c r="F171" t="s">
        <v>17</v>
      </c>
      <c r="G171">
        <f t="shared" si="2"/>
        <v>287.25</v>
      </c>
      <c r="H171">
        <v>5</v>
      </c>
      <c r="I171">
        <v>57.45</v>
      </c>
      <c r="J171">
        <v>143</v>
      </c>
      <c r="K171">
        <v>144.25</v>
      </c>
    </row>
    <row r="172" spans="1:11" x14ac:dyDescent="0.15">
      <c r="A172" s="1">
        <v>43051</v>
      </c>
      <c r="B172">
        <v>103121</v>
      </c>
      <c r="C172" t="s">
        <v>206</v>
      </c>
      <c r="D172" t="s">
        <v>13</v>
      </c>
      <c r="E172" t="s">
        <v>15</v>
      </c>
      <c r="F172" t="s">
        <v>17</v>
      </c>
      <c r="G172">
        <f t="shared" si="2"/>
        <v>70.52</v>
      </c>
      <c r="H172">
        <v>4</v>
      </c>
      <c r="I172">
        <v>17.63</v>
      </c>
      <c r="J172">
        <v>35</v>
      </c>
      <c r="K172">
        <v>35.519999999999996</v>
      </c>
    </row>
    <row r="173" spans="1:11" x14ac:dyDescent="0.15">
      <c r="A173" s="1">
        <v>42898</v>
      </c>
      <c r="B173">
        <v>103208</v>
      </c>
      <c r="C173" t="s">
        <v>20</v>
      </c>
      <c r="D173" t="s">
        <v>13</v>
      </c>
      <c r="E173" t="s">
        <v>14</v>
      </c>
      <c r="F173" t="s">
        <v>17</v>
      </c>
      <c r="G173">
        <f t="shared" si="2"/>
        <v>156.45000000000002</v>
      </c>
      <c r="H173">
        <v>7</v>
      </c>
      <c r="I173">
        <v>22.35</v>
      </c>
      <c r="J173">
        <v>78</v>
      </c>
      <c r="K173">
        <v>78.450000000000017</v>
      </c>
    </row>
    <row r="174" spans="1:11" x14ac:dyDescent="0.15">
      <c r="A174" s="1">
        <v>42886</v>
      </c>
      <c r="B174">
        <v>103238</v>
      </c>
      <c r="C174" t="s">
        <v>239</v>
      </c>
      <c r="D174" t="s">
        <v>13</v>
      </c>
      <c r="E174" t="s">
        <v>15</v>
      </c>
      <c r="F174" t="s">
        <v>17</v>
      </c>
      <c r="G174">
        <f t="shared" si="2"/>
        <v>6.49</v>
      </c>
      <c r="H174">
        <v>1</v>
      </c>
      <c r="I174">
        <v>6.49</v>
      </c>
      <c r="J174">
        <v>3</v>
      </c>
      <c r="K174">
        <v>3.49</v>
      </c>
    </row>
    <row r="175" spans="1:11" x14ac:dyDescent="0.15">
      <c r="A175" s="1">
        <v>42886</v>
      </c>
      <c r="B175">
        <v>103238</v>
      </c>
      <c r="C175" t="s">
        <v>187</v>
      </c>
      <c r="D175" t="s">
        <v>13</v>
      </c>
      <c r="E175" t="s">
        <v>15</v>
      </c>
      <c r="F175" t="s">
        <v>17</v>
      </c>
      <c r="G175">
        <f t="shared" si="2"/>
        <v>8.0399999999999991</v>
      </c>
      <c r="H175">
        <v>2</v>
      </c>
      <c r="I175">
        <v>4.0199999999999996</v>
      </c>
      <c r="J175">
        <v>4</v>
      </c>
      <c r="K175">
        <v>4.0399999999999991</v>
      </c>
    </row>
    <row r="176" spans="1:11" x14ac:dyDescent="0.15">
      <c r="A176" s="1">
        <v>42971</v>
      </c>
      <c r="B176">
        <v>103254</v>
      </c>
      <c r="C176" t="s">
        <v>76</v>
      </c>
      <c r="D176" t="s">
        <v>13</v>
      </c>
      <c r="E176" t="s">
        <v>37</v>
      </c>
      <c r="F176" t="s">
        <v>17</v>
      </c>
      <c r="G176">
        <f t="shared" si="2"/>
        <v>247.86</v>
      </c>
      <c r="H176">
        <v>6</v>
      </c>
      <c r="I176">
        <v>41.31</v>
      </c>
      <c r="J176">
        <v>123</v>
      </c>
      <c r="K176">
        <v>124.86000000000001</v>
      </c>
    </row>
    <row r="177" spans="1:11" x14ac:dyDescent="0.15">
      <c r="A177" s="1">
        <v>42887</v>
      </c>
      <c r="B177">
        <v>103279</v>
      </c>
      <c r="C177" t="s">
        <v>52</v>
      </c>
      <c r="D177" t="s">
        <v>13</v>
      </c>
      <c r="E177" t="s">
        <v>14</v>
      </c>
      <c r="F177" t="s">
        <v>17</v>
      </c>
      <c r="G177">
        <f t="shared" si="2"/>
        <v>141.22</v>
      </c>
      <c r="H177">
        <v>2</v>
      </c>
      <c r="I177">
        <v>70.61</v>
      </c>
      <c r="J177">
        <v>70</v>
      </c>
      <c r="K177">
        <v>71.22</v>
      </c>
    </row>
    <row r="178" spans="1:11" x14ac:dyDescent="0.15">
      <c r="A178" s="1">
        <v>43087</v>
      </c>
      <c r="B178">
        <v>103359</v>
      </c>
      <c r="C178" t="s">
        <v>93</v>
      </c>
      <c r="D178" t="s">
        <v>13</v>
      </c>
      <c r="E178" t="s">
        <v>15</v>
      </c>
      <c r="F178" t="s">
        <v>17</v>
      </c>
      <c r="G178">
        <f t="shared" si="2"/>
        <v>232.84</v>
      </c>
      <c r="H178">
        <v>4</v>
      </c>
      <c r="I178">
        <v>58.21</v>
      </c>
      <c r="J178">
        <v>116</v>
      </c>
      <c r="K178">
        <v>116.84</v>
      </c>
    </row>
    <row r="179" spans="1:11" x14ac:dyDescent="0.15">
      <c r="A179" s="1">
        <v>43039</v>
      </c>
      <c r="B179">
        <v>103364</v>
      </c>
      <c r="C179" t="s">
        <v>190</v>
      </c>
      <c r="D179" t="s">
        <v>13</v>
      </c>
      <c r="E179" t="s">
        <v>15</v>
      </c>
      <c r="F179" t="s">
        <v>17</v>
      </c>
      <c r="G179">
        <f t="shared" si="2"/>
        <v>38.549999999999997</v>
      </c>
      <c r="H179">
        <v>3</v>
      </c>
      <c r="I179">
        <v>12.85</v>
      </c>
      <c r="J179">
        <v>19</v>
      </c>
      <c r="K179">
        <v>19.549999999999997</v>
      </c>
    </row>
    <row r="180" spans="1:11" x14ac:dyDescent="0.15">
      <c r="A180" s="1">
        <v>43039</v>
      </c>
      <c r="B180">
        <v>103364</v>
      </c>
      <c r="C180" t="s">
        <v>69</v>
      </c>
      <c r="D180" t="s">
        <v>13</v>
      </c>
      <c r="E180" t="s">
        <v>15</v>
      </c>
      <c r="F180" t="s">
        <v>17</v>
      </c>
      <c r="G180">
        <f t="shared" si="2"/>
        <v>53.8</v>
      </c>
      <c r="H180">
        <v>2</v>
      </c>
      <c r="I180">
        <v>26.9</v>
      </c>
      <c r="J180">
        <v>26</v>
      </c>
      <c r="K180">
        <v>27.799999999999997</v>
      </c>
    </row>
    <row r="181" spans="1:11" x14ac:dyDescent="0.15">
      <c r="A181" s="1">
        <v>43079</v>
      </c>
      <c r="B181">
        <v>103365</v>
      </c>
      <c r="C181" t="s">
        <v>202</v>
      </c>
      <c r="D181" t="s">
        <v>13</v>
      </c>
      <c r="E181" t="s">
        <v>14</v>
      </c>
      <c r="F181" t="s">
        <v>17</v>
      </c>
      <c r="G181">
        <f t="shared" si="2"/>
        <v>404.95</v>
      </c>
      <c r="H181">
        <v>7</v>
      </c>
      <c r="I181">
        <v>57.85</v>
      </c>
      <c r="J181">
        <v>202</v>
      </c>
      <c r="K181">
        <v>202.95</v>
      </c>
    </row>
    <row r="182" spans="1:11" x14ac:dyDescent="0.15">
      <c r="A182" s="1">
        <v>43014</v>
      </c>
      <c r="B182">
        <v>103376</v>
      </c>
      <c r="C182" t="s">
        <v>210</v>
      </c>
      <c r="D182" t="s">
        <v>13</v>
      </c>
      <c r="E182" t="s">
        <v>14</v>
      </c>
      <c r="F182" t="s">
        <v>17</v>
      </c>
      <c r="G182">
        <f t="shared" si="2"/>
        <v>133.12</v>
      </c>
      <c r="H182">
        <v>2</v>
      </c>
      <c r="I182">
        <v>66.56</v>
      </c>
      <c r="J182">
        <v>66</v>
      </c>
      <c r="K182">
        <v>67.12</v>
      </c>
    </row>
    <row r="183" spans="1:11" x14ac:dyDescent="0.15">
      <c r="A183" s="1">
        <v>42864</v>
      </c>
      <c r="B183">
        <v>103490</v>
      </c>
      <c r="C183" t="s">
        <v>94</v>
      </c>
      <c r="D183" t="s">
        <v>13</v>
      </c>
      <c r="E183" t="s">
        <v>15</v>
      </c>
      <c r="F183" t="s">
        <v>17</v>
      </c>
      <c r="G183">
        <f t="shared" si="2"/>
        <v>194.56</v>
      </c>
      <c r="H183">
        <v>4</v>
      </c>
      <c r="I183">
        <v>48.64</v>
      </c>
      <c r="J183">
        <v>97</v>
      </c>
      <c r="K183">
        <v>97.56</v>
      </c>
    </row>
    <row r="184" spans="1:11" x14ac:dyDescent="0.15">
      <c r="A184" s="1">
        <v>43000</v>
      </c>
      <c r="B184">
        <v>103501</v>
      </c>
      <c r="C184" t="s">
        <v>191</v>
      </c>
      <c r="D184" t="s">
        <v>13</v>
      </c>
      <c r="E184" t="s">
        <v>15</v>
      </c>
      <c r="F184" t="s">
        <v>17</v>
      </c>
      <c r="G184">
        <f t="shared" si="2"/>
        <v>280.8</v>
      </c>
      <c r="H184">
        <v>8</v>
      </c>
      <c r="I184">
        <v>35.1</v>
      </c>
      <c r="J184">
        <v>140</v>
      </c>
      <c r="K184">
        <v>140.80000000000001</v>
      </c>
    </row>
    <row r="185" spans="1:11" x14ac:dyDescent="0.15">
      <c r="A185" s="1">
        <v>42780</v>
      </c>
      <c r="B185">
        <v>103568</v>
      </c>
      <c r="C185" t="s">
        <v>69</v>
      </c>
      <c r="D185" t="s">
        <v>13</v>
      </c>
      <c r="E185" t="s">
        <v>14</v>
      </c>
      <c r="F185" t="s">
        <v>17</v>
      </c>
      <c r="G185">
        <f t="shared" si="2"/>
        <v>536.88</v>
      </c>
      <c r="H185">
        <v>6</v>
      </c>
      <c r="I185">
        <v>89.48</v>
      </c>
      <c r="J185">
        <v>268</v>
      </c>
      <c r="K185">
        <v>268.88</v>
      </c>
    </row>
    <row r="186" spans="1:11" x14ac:dyDescent="0.15">
      <c r="A186" s="1">
        <v>42902</v>
      </c>
      <c r="B186">
        <v>103747</v>
      </c>
      <c r="C186" t="s">
        <v>190</v>
      </c>
      <c r="D186" t="s">
        <v>13</v>
      </c>
      <c r="E186" t="s">
        <v>15</v>
      </c>
      <c r="F186" t="s">
        <v>17</v>
      </c>
      <c r="G186">
        <f t="shared" si="2"/>
        <v>129.32</v>
      </c>
      <c r="H186">
        <v>2</v>
      </c>
      <c r="I186">
        <v>64.66</v>
      </c>
      <c r="J186">
        <v>64</v>
      </c>
      <c r="K186">
        <v>65.319999999999993</v>
      </c>
    </row>
    <row r="187" spans="1:11" x14ac:dyDescent="0.15">
      <c r="A187" s="1">
        <v>42794</v>
      </c>
      <c r="B187">
        <v>103779</v>
      </c>
      <c r="C187" t="s">
        <v>231</v>
      </c>
      <c r="D187" t="s">
        <v>13</v>
      </c>
      <c r="E187" t="s">
        <v>37</v>
      </c>
      <c r="F187" t="s">
        <v>17</v>
      </c>
      <c r="G187">
        <f t="shared" si="2"/>
        <v>214</v>
      </c>
      <c r="H187">
        <v>5</v>
      </c>
      <c r="I187">
        <v>42.8</v>
      </c>
      <c r="J187">
        <v>107</v>
      </c>
      <c r="K187">
        <v>107</v>
      </c>
    </row>
    <row r="188" spans="1:11" x14ac:dyDescent="0.15">
      <c r="A188" s="1">
        <v>42950</v>
      </c>
      <c r="B188">
        <v>103784</v>
      </c>
      <c r="C188" t="s">
        <v>86</v>
      </c>
      <c r="D188" t="s">
        <v>13</v>
      </c>
      <c r="E188" t="s">
        <v>15</v>
      </c>
      <c r="F188" t="s">
        <v>17</v>
      </c>
      <c r="G188">
        <f t="shared" si="2"/>
        <v>11.200000000000001</v>
      </c>
      <c r="H188">
        <v>7</v>
      </c>
      <c r="I188">
        <v>1.6</v>
      </c>
      <c r="J188">
        <v>5</v>
      </c>
      <c r="K188">
        <v>6.2000000000000011</v>
      </c>
    </row>
    <row r="189" spans="1:11" x14ac:dyDescent="0.15">
      <c r="A189" s="1">
        <v>42959</v>
      </c>
      <c r="B189">
        <v>103790</v>
      </c>
      <c r="C189" t="s">
        <v>247</v>
      </c>
      <c r="D189" t="s">
        <v>13</v>
      </c>
      <c r="E189" t="s">
        <v>37</v>
      </c>
      <c r="F189" t="s">
        <v>17</v>
      </c>
      <c r="G189">
        <f t="shared" si="2"/>
        <v>135.56</v>
      </c>
      <c r="H189">
        <v>2</v>
      </c>
      <c r="I189">
        <v>67.78</v>
      </c>
      <c r="J189">
        <v>67</v>
      </c>
      <c r="K189">
        <v>68.56</v>
      </c>
    </row>
    <row r="190" spans="1:11" x14ac:dyDescent="0.15">
      <c r="A190" s="1">
        <v>42738</v>
      </c>
      <c r="B190">
        <v>103798</v>
      </c>
      <c r="C190" t="s">
        <v>20</v>
      </c>
      <c r="D190" t="s">
        <v>13</v>
      </c>
      <c r="E190" t="s">
        <v>14</v>
      </c>
      <c r="F190" t="s">
        <v>17</v>
      </c>
      <c r="G190">
        <f t="shared" si="2"/>
        <v>120.36</v>
      </c>
      <c r="H190">
        <v>4</v>
      </c>
      <c r="I190">
        <v>30.09</v>
      </c>
      <c r="J190">
        <v>60</v>
      </c>
      <c r="K190">
        <v>60.36</v>
      </c>
    </row>
    <row r="191" spans="1:11" x14ac:dyDescent="0.15">
      <c r="A191" s="1">
        <v>42468</v>
      </c>
      <c r="B191">
        <v>100568</v>
      </c>
      <c r="C191" t="s">
        <v>34</v>
      </c>
      <c r="D191" t="s">
        <v>13</v>
      </c>
      <c r="E191" t="s">
        <v>37</v>
      </c>
      <c r="F191" t="s">
        <v>33</v>
      </c>
      <c r="G191">
        <f t="shared" si="2"/>
        <v>182.2</v>
      </c>
      <c r="H191">
        <v>2</v>
      </c>
      <c r="I191">
        <v>91.1</v>
      </c>
      <c r="J191">
        <v>91</v>
      </c>
      <c r="K191">
        <v>91.199999999999989</v>
      </c>
    </row>
    <row r="192" spans="1:11" x14ac:dyDescent="0.15">
      <c r="A192" s="1">
        <v>42862</v>
      </c>
      <c r="B192">
        <v>103076</v>
      </c>
      <c r="C192" t="s">
        <v>34</v>
      </c>
      <c r="D192" t="s">
        <v>13</v>
      </c>
      <c r="E192" t="s">
        <v>15</v>
      </c>
      <c r="F192" t="s">
        <v>33</v>
      </c>
      <c r="G192">
        <f t="shared" si="2"/>
        <v>298.08</v>
      </c>
      <c r="H192">
        <v>3</v>
      </c>
      <c r="I192">
        <v>99.36</v>
      </c>
      <c r="J192">
        <v>149</v>
      </c>
      <c r="K192">
        <v>149.07999999999998</v>
      </c>
    </row>
    <row r="193" spans="1:11" x14ac:dyDescent="0.15">
      <c r="A193" s="1">
        <v>43094</v>
      </c>
      <c r="B193">
        <v>103078</v>
      </c>
      <c r="C193" t="s">
        <v>228</v>
      </c>
      <c r="D193" t="s">
        <v>13</v>
      </c>
      <c r="E193" t="s">
        <v>14</v>
      </c>
      <c r="F193" t="s">
        <v>33</v>
      </c>
      <c r="G193">
        <f t="shared" si="2"/>
        <v>102.2</v>
      </c>
      <c r="H193">
        <v>7</v>
      </c>
      <c r="I193">
        <v>14.6</v>
      </c>
      <c r="J193">
        <v>51</v>
      </c>
      <c r="K193">
        <v>51.2</v>
      </c>
    </row>
    <row r="194" spans="1:11" x14ac:dyDescent="0.15">
      <c r="A194" s="1">
        <v>42471</v>
      </c>
      <c r="B194">
        <v>100442</v>
      </c>
      <c r="C194" t="s">
        <v>156</v>
      </c>
      <c r="D194" t="s">
        <v>13</v>
      </c>
      <c r="E194" t="s">
        <v>14</v>
      </c>
      <c r="F194" t="s">
        <v>62</v>
      </c>
      <c r="G194">
        <f t="shared" si="2"/>
        <v>665.98</v>
      </c>
      <c r="H194">
        <v>7</v>
      </c>
      <c r="I194">
        <v>95.14</v>
      </c>
      <c r="J194">
        <v>332</v>
      </c>
      <c r="K194">
        <v>333.98</v>
      </c>
    </row>
    <row r="195" spans="1:11" x14ac:dyDescent="0.15">
      <c r="A195" s="1">
        <v>42809</v>
      </c>
      <c r="B195">
        <v>102750</v>
      </c>
      <c r="C195" t="s">
        <v>177</v>
      </c>
      <c r="D195" t="s">
        <v>13</v>
      </c>
      <c r="E195" t="s">
        <v>15</v>
      </c>
      <c r="F195" t="s">
        <v>62</v>
      </c>
      <c r="G195">
        <f t="shared" ref="G195:G258" si="3">H195*I195</f>
        <v>67.56</v>
      </c>
      <c r="H195">
        <v>3</v>
      </c>
      <c r="I195">
        <v>22.52</v>
      </c>
      <c r="J195">
        <v>33</v>
      </c>
      <c r="K195">
        <v>34.56</v>
      </c>
    </row>
    <row r="196" spans="1:11" x14ac:dyDescent="0.15">
      <c r="A196" s="1">
        <v>42973</v>
      </c>
      <c r="B196">
        <v>102798</v>
      </c>
      <c r="C196" t="s">
        <v>108</v>
      </c>
      <c r="D196" t="s">
        <v>13</v>
      </c>
      <c r="E196" t="s">
        <v>37</v>
      </c>
      <c r="F196" t="s">
        <v>62</v>
      </c>
      <c r="G196">
        <f t="shared" si="3"/>
        <v>266.56</v>
      </c>
      <c r="H196">
        <v>4</v>
      </c>
      <c r="I196">
        <v>66.64</v>
      </c>
      <c r="J196">
        <v>133</v>
      </c>
      <c r="K196">
        <v>133.56</v>
      </c>
    </row>
    <row r="197" spans="1:11" x14ac:dyDescent="0.15">
      <c r="A197" s="1">
        <v>42828</v>
      </c>
      <c r="B197">
        <v>102800</v>
      </c>
      <c r="C197" t="s">
        <v>220</v>
      </c>
      <c r="D197" t="s">
        <v>13</v>
      </c>
      <c r="E197" t="s">
        <v>14</v>
      </c>
      <c r="F197" t="s">
        <v>62</v>
      </c>
      <c r="G197">
        <f t="shared" si="3"/>
        <v>33.869999999999997</v>
      </c>
      <c r="H197">
        <v>1</v>
      </c>
      <c r="I197">
        <v>33.869999999999997</v>
      </c>
      <c r="J197">
        <v>16</v>
      </c>
      <c r="K197">
        <v>17.869999999999997</v>
      </c>
    </row>
    <row r="198" spans="1:11" x14ac:dyDescent="0.15">
      <c r="A198" s="1">
        <v>42848</v>
      </c>
      <c r="B198">
        <v>103050</v>
      </c>
      <c r="C198" t="s">
        <v>209</v>
      </c>
      <c r="D198" t="s">
        <v>13</v>
      </c>
      <c r="E198" t="s">
        <v>37</v>
      </c>
      <c r="F198" t="s">
        <v>62</v>
      </c>
      <c r="G198">
        <f t="shared" si="3"/>
        <v>621.62999999999988</v>
      </c>
      <c r="H198">
        <v>9</v>
      </c>
      <c r="I198">
        <v>69.069999999999993</v>
      </c>
      <c r="J198">
        <v>310</v>
      </c>
      <c r="K198">
        <v>311.62999999999988</v>
      </c>
    </row>
    <row r="199" spans="1:11" x14ac:dyDescent="0.15">
      <c r="A199" s="1">
        <v>43014</v>
      </c>
      <c r="B199">
        <v>103635</v>
      </c>
      <c r="C199" t="s">
        <v>241</v>
      </c>
      <c r="D199" t="s">
        <v>13</v>
      </c>
      <c r="E199" t="s">
        <v>14</v>
      </c>
      <c r="F199" t="s">
        <v>62</v>
      </c>
      <c r="G199">
        <f t="shared" si="3"/>
        <v>778.7</v>
      </c>
      <c r="H199">
        <v>10</v>
      </c>
      <c r="I199">
        <v>77.87</v>
      </c>
      <c r="J199">
        <v>389</v>
      </c>
      <c r="K199">
        <v>389.70000000000005</v>
      </c>
    </row>
    <row r="200" spans="1:11" x14ac:dyDescent="0.15">
      <c r="A200" s="1">
        <v>43025</v>
      </c>
      <c r="B200">
        <v>103703</v>
      </c>
      <c r="C200" t="s">
        <v>241</v>
      </c>
      <c r="D200" t="s">
        <v>13</v>
      </c>
      <c r="E200" t="s">
        <v>14</v>
      </c>
      <c r="F200" t="s">
        <v>62</v>
      </c>
      <c r="G200">
        <f t="shared" si="3"/>
        <v>260.88</v>
      </c>
      <c r="H200">
        <v>4</v>
      </c>
      <c r="I200">
        <v>65.22</v>
      </c>
      <c r="J200">
        <v>130</v>
      </c>
      <c r="K200">
        <v>130.88</v>
      </c>
    </row>
    <row r="201" spans="1:11" x14ac:dyDescent="0.15">
      <c r="A201" s="1">
        <v>42439</v>
      </c>
      <c r="B201">
        <v>100123</v>
      </c>
      <c r="C201" t="s">
        <v>73</v>
      </c>
      <c r="D201" t="s">
        <v>13</v>
      </c>
      <c r="E201" t="s">
        <v>15</v>
      </c>
      <c r="F201" t="s">
        <v>35</v>
      </c>
      <c r="G201">
        <f t="shared" si="3"/>
        <v>285.21000000000004</v>
      </c>
      <c r="H201">
        <v>9</v>
      </c>
      <c r="I201">
        <v>31.69</v>
      </c>
      <c r="J201">
        <v>142</v>
      </c>
      <c r="K201">
        <v>143.21000000000004</v>
      </c>
    </row>
    <row r="202" spans="1:11" x14ac:dyDescent="0.15">
      <c r="A202" s="1">
        <v>43094</v>
      </c>
      <c r="B202">
        <v>103078</v>
      </c>
      <c r="C202" t="s">
        <v>233</v>
      </c>
      <c r="D202" t="s">
        <v>13</v>
      </c>
      <c r="E202" t="s">
        <v>14</v>
      </c>
      <c r="F202" t="s">
        <v>35</v>
      </c>
      <c r="G202">
        <f t="shared" si="3"/>
        <v>346.96</v>
      </c>
      <c r="H202">
        <v>8</v>
      </c>
      <c r="I202">
        <v>43.37</v>
      </c>
      <c r="J202">
        <v>173</v>
      </c>
      <c r="K202">
        <v>173.95999999999998</v>
      </c>
    </row>
    <row r="203" spans="1:11" x14ac:dyDescent="0.15">
      <c r="A203" s="1">
        <v>43023</v>
      </c>
      <c r="B203">
        <v>103425</v>
      </c>
      <c r="C203" t="s">
        <v>136</v>
      </c>
      <c r="D203" t="s">
        <v>13</v>
      </c>
      <c r="E203" t="s">
        <v>15</v>
      </c>
      <c r="F203" t="s">
        <v>35</v>
      </c>
      <c r="G203">
        <f t="shared" si="3"/>
        <v>97.449999999999989</v>
      </c>
      <c r="H203">
        <v>5</v>
      </c>
      <c r="I203">
        <v>19.489999999999998</v>
      </c>
      <c r="J203">
        <v>48</v>
      </c>
      <c r="K203">
        <v>49.449999999999989</v>
      </c>
    </row>
    <row r="204" spans="1:11" x14ac:dyDescent="0.15">
      <c r="A204" s="1">
        <v>42975</v>
      </c>
      <c r="B204">
        <v>103432</v>
      </c>
      <c r="C204" t="s">
        <v>245</v>
      </c>
      <c r="D204" t="s">
        <v>13</v>
      </c>
      <c r="E204" t="s">
        <v>37</v>
      </c>
      <c r="F204" t="s">
        <v>35</v>
      </c>
      <c r="G204">
        <f t="shared" si="3"/>
        <v>383.65000000000003</v>
      </c>
      <c r="H204">
        <v>5</v>
      </c>
      <c r="I204">
        <v>76.73</v>
      </c>
      <c r="J204">
        <v>191</v>
      </c>
      <c r="K204">
        <v>192.65000000000003</v>
      </c>
    </row>
    <row r="205" spans="1:11" x14ac:dyDescent="0.15">
      <c r="A205" s="1">
        <v>42959</v>
      </c>
      <c r="B205">
        <v>103790</v>
      </c>
      <c r="C205" t="s">
        <v>112</v>
      </c>
      <c r="D205" t="s">
        <v>13</v>
      </c>
      <c r="E205" t="s">
        <v>37</v>
      </c>
      <c r="F205" t="s">
        <v>35</v>
      </c>
      <c r="G205">
        <f t="shared" si="3"/>
        <v>460.7</v>
      </c>
      <c r="H205">
        <v>10</v>
      </c>
      <c r="I205">
        <v>46.07</v>
      </c>
      <c r="J205">
        <v>230</v>
      </c>
      <c r="K205">
        <v>230.7</v>
      </c>
    </row>
    <row r="206" spans="1:11" x14ac:dyDescent="0.15">
      <c r="A206" s="1">
        <v>42660</v>
      </c>
      <c r="B206">
        <v>100373</v>
      </c>
      <c r="C206" t="s">
        <v>141</v>
      </c>
      <c r="D206" t="s">
        <v>13</v>
      </c>
      <c r="E206" t="s">
        <v>14</v>
      </c>
      <c r="F206" t="s">
        <v>60</v>
      </c>
      <c r="G206">
        <f t="shared" si="3"/>
        <v>72.78</v>
      </c>
      <c r="H206">
        <v>3</v>
      </c>
      <c r="I206">
        <v>24.26</v>
      </c>
      <c r="J206">
        <v>36.39</v>
      </c>
      <c r="K206">
        <v>36.39</v>
      </c>
    </row>
    <row r="207" spans="1:11" x14ac:dyDescent="0.15">
      <c r="A207" s="1">
        <v>42794</v>
      </c>
      <c r="B207">
        <v>103236</v>
      </c>
      <c r="C207" t="s">
        <v>213</v>
      </c>
      <c r="D207" t="s">
        <v>13</v>
      </c>
      <c r="E207" t="s">
        <v>15</v>
      </c>
      <c r="F207" t="s">
        <v>60</v>
      </c>
      <c r="G207">
        <f t="shared" si="3"/>
        <v>211.84</v>
      </c>
      <c r="H207">
        <v>4</v>
      </c>
      <c r="I207">
        <v>52.96</v>
      </c>
      <c r="J207">
        <v>105.92</v>
      </c>
      <c r="K207">
        <v>105.92</v>
      </c>
    </row>
    <row r="208" spans="1:11" x14ac:dyDescent="0.15">
      <c r="A208" s="1">
        <v>42866</v>
      </c>
      <c r="B208">
        <v>103271</v>
      </c>
      <c r="C208" t="s">
        <v>200</v>
      </c>
      <c r="D208" t="s">
        <v>13</v>
      </c>
      <c r="E208" t="s">
        <v>37</v>
      </c>
      <c r="F208" t="s">
        <v>60</v>
      </c>
      <c r="G208">
        <f t="shared" si="3"/>
        <v>505.34999999999997</v>
      </c>
      <c r="H208">
        <v>9</v>
      </c>
      <c r="I208">
        <v>56.15</v>
      </c>
      <c r="J208">
        <v>252.67500000000001</v>
      </c>
      <c r="K208">
        <v>252.67499999999995</v>
      </c>
    </row>
    <row r="209" spans="1:11" x14ac:dyDescent="0.15">
      <c r="A209" s="1">
        <v>42705</v>
      </c>
      <c r="B209">
        <v>100083</v>
      </c>
      <c r="C209" t="s">
        <v>53</v>
      </c>
      <c r="D209" t="s">
        <v>21</v>
      </c>
      <c r="E209" t="s">
        <v>22</v>
      </c>
      <c r="F209" t="s">
        <v>38</v>
      </c>
      <c r="G209">
        <f t="shared" si="3"/>
        <v>198.56</v>
      </c>
      <c r="H209">
        <v>2</v>
      </c>
      <c r="I209">
        <v>99.28</v>
      </c>
      <c r="J209">
        <v>99.28</v>
      </c>
      <c r="K209">
        <v>99.28</v>
      </c>
    </row>
    <row r="210" spans="1:11" x14ac:dyDescent="0.15">
      <c r="A210" s="1">
        <v>42468</v>
      </c>
      <c r="B210">
        <v>100112</v>
      </c>
      <c r="C210" t="s">
        <v>68</v>
      </c>
      <c r="D210" t="s">
        <v>21</v>
      </c>
      <c r="E210" t="s">
        <v>25</v>
      </c>
      <c r="F210" t="s">
        <v>38</v>
      </c>
      <c r="G210">
        <f t="shared" si="3"/>
        <v>19.829999999999998</v>
      </c>
      <c r="H210">
        <v>1</v>
      </c>
      <c r="I210">
        <v>19.829999999999998</v>
      </c>
      <c r="J210">
        <v>9.9149999999999991</v>
      </c>
      <c r="K210">
        <v>9.9149999999999991</v>
      </c>
    </row>
    <row r="211" spans="1:11" x14ac:dyDescent="0.15">
      <c r="A211" s="1">
        <v>42490</v>
      </c>
      <c r="B211">
        <v>100132</v>
      </c>
      <c r="C211" t="s">
        <v>77</v>
      </c>
      <c r="D211" t="s">
        <v>21</v>
      </c>
      <c r="E211" t="s">
        <v>25</v>
      </c>
      <c r="F211" t="s">
        <v>38</v>
      </c>
      <c r="G211">
        <f t="shared" si="3"/>
        <v>35.64</v>
      </c>
      <c r="H211">
        <v>1</v>
      </c>
      <c r="I211">
        <v>35.64</v>
      </c>
      <c r="J211">
        <v>17.82</v>
      </c>
      <c r="K211">
        <v>17.82</v>
      </c>
    </row>
    <row r="212" spans="1:11" x14ac:dyDescent="0.15">
      <c r="A212" s="1">
        <v>42696</v>
      </c>
      <c r="B212">
        <v>100181</v>
      </c>
      <c r="C212" t="s">
        <v>91</v>
      </c>
      <c r="D212" t="s">
        <v>21</v>
      </c>
      <c r="E212" t="s">
        <v>36</v>
      </c>
      <c r="F212" t="s">
        <v>38</v>
      </c>
      <c r="G212">
        <f t="shared" si="3"/>
        <v>297.8</v>
      </c>
      <c r="H212">
        <v>5</v>
      </c>
      <c r="I212">
        <v>59.56</v>
      </c>
      <c r="J212">
        <v>148.9</v>
      </c>
      <c r="K212">
        <v>148.9</v>
      </c>
    </row>
    <row r="213" spans="1:11" x14ac:dyDescent="0.15">
      <c r="A213" s="1">
        <v>42725</v>
      </c>
      <c r="B213">
        <v>100255</v>
      </c>
      <c r="C213" t="s">
        <v>48</v>
      </c>
      <c r="D213" t="s">
        <v>21</v>
      </c>
      <c r="E213" t="s">
        <v>36</v>
      </c>
      <c r="F213" t="s">
        <v>38</v>
      </c>
      <c r="G213">
        <f t="shared" si="3"/>
        <v>243</v>
      </c>
      <c r="H213">
        <v>4</v>
      </c>
      <c r="I213">
        <v>60.75</v>
      </c>
      <c r="J213">
        <v>121.5</v>
      </c>
      <c r="K213">
        <v>121.5</v>
      </c>
    </row>
    <row r="214" spans="1:11" x14ac:dyDescent="0.15">
      <c r="A214" s="1">
        <v>42485</v>
      </c>
      <c r="B214">
        <v>100288</v>
      </c>
      <c r="C214" t="s">
        <v>121</v>
      </c>
      <c r="D214" t="s">
        <v>21</v>
      </c>
      <c r="E214" t="s">
        <v>25</v>
      </c>
      <c r="F214" t="s">
        <v>38</v>
      </c>
      <c r="G214">
        <f t="shared" si="3"/>
        <v>182.10000000000002</v>
      </c>
      <c r="H214">
        <v>5</v>
      </c>
      <c r="I214">
        <v>36.42</v>
      </c>
      <c r="J214">
        <v>91.05</v>
      </c>
      <c r="K214">
        <v>91.050000000000026</v>
      </c>
    </row>
    <row r="215" spans="1:11" x14ac:dyDescent="0.15">
      <c r="A215" s="1">
        <v>42568</v>
      </c>
      <c r="B215">
        <v>100323</v>
      </c>
      <c r="C215" t="s">
        <v>68</v>
      </c>
      <c r="D215" t="s">
        <v>21</v>
      </c>
      <c r="E215" t="s">
        <v>25</v>
      </c>
      <c r="F215" t="s">
        <v>38</v>
      </c>
      <c r="G215">
        <f t="shared" si="3"/>
        <v>519.19000000000005</v>
      </c>
      <c r="H215">
        <v>7</v>
      </c>
      <c r="I215">
        <v>74.17</v>
      </c>
      <c r="J215">
        <v>259.59500000000003</v>
      </c>
      <c r="K215">
        <v>259.59500000000003</v>
      </c>
    </row>
    <row r="216" spans="1:11" x14ac:dyDescent="0.15">
      <c r="A216" s="1">
        <v>42527</v>
      </c>
      <c r="B216">
        <v>100413</v>
      </c>
      <c r="C216" t="s">
        <v>123</v>
      </c>
      <c r="D216" t="s">
        <v>21</v>
      </c>
      <c r="E216" t="s">
        <v>36</v>
      </c>
      <c r="F216" t="s">
        <v>38</v>
      </c>
      <c r="G216">
        <f t="shared" si="3"/>
        <v>346.04</v>
      </c>
      <c r="H216">
        <v>4</v>
      </c>
      <c r="I216">
        <v>86.51</v>
      </c>
      <c r="J216">
        <v>173.02</v>
      </c>
      <c r="K216">
        <v>173.02</v>
      </c>
    </row>
    <row r="217" spans="1:11" x14ac:dyDescent="0.15">
      <c r="A217" s="1">
        <v>42527</v>
      </c>
      <c r="B217">
        <v>100413</v>
      </c>
      <c r="C217" t="s">
        <v>147</v>
      </c>
      <c r="D217" t="s">
        <v>21</v>
      </c>
      <c r="E217" t="s">
        <v>36</v>
      </c>
      <c r="F217" t="s">
        <v>38</v>
      </c>
      <c r="G217">
        <f t="shared" si="3"/>
        <v>648.55000000000007</v>
      </c>
      <c r="H217">
        <v>7</v>
      </c>
      <c r="I217">
        <v>92.65</v>
      </c>
      <c r="J217">
        <v>324.27499999999998</v>
      </c>
      <c r="K217">
        <v>324.27500000000009</v>
      </c>
    </row>
    <row r="218" spans="1:11" x14ac:dyDescent="0.15">
      <c r="A218" s="1">
        <v>42478</v>
      </c>
      <c r="B218">
        <v>100417</v>
      </c>
      <c r="C218" t="s">
        <v>121</v>
      </c>
      <c r="D218" t="s">
        <v>21</v>
      </c>
      <c r="E218" t="s">
        <v>36</v>
      </c>
      <c r="F218" t="s">
        <v>38</v>
      </c>
      <c r="G218">
        <f t="shared" si="3"/>
        <v>44.67</v>
      </c>
      <c r="H218">
        <v>1</v>
      </c>
      <c r="I218">
        <v>44.67</v>
      </c>
      <c r="J218">
        <v>22.335000000000001</v>
      </c>
      <c r="K218">
        <v>22.335000000000001</v>
      </c>
    </row>
    <row r="219" spans="1:11" x14ac:dyDescent="0.15">
      <c r="A219" s="1">
        <v>42731</v>
      </c>
      <c r="B219">
        <v>100420</v>
      </c>
      <c r="C219" t="s">
        <v>150</v>
      </c>
      <c r="D219" t="s">
        <v>21</v>
      </c>
      <c r="E219" t="s">
        <v>22</v>
      </c>
      <c r="F219" t="s">
        <v>38</v>
      </c>
      <c r="G219">
        <f t="shared" si="3"/>
        <v>272.78999999999996</v>
      </c>
      <c r="H219">
        <v>9</v>
      </c>
      <c r="I219">
        <v>30.31</v>
      </c>
      <c r="J219">
        <v>136.39500000000001</v>
      </c>
      <c r="K219">
        <v>136.39499999999995</v>
      </c>
    </row>
    <row r="220" spans="1:11" x14ac:dyDescent="0.15">
      <c r="A220" s="1">
        <v>42574</v>
      </c>
      <c r="B220">
        <v>100488</v>
      </c>
      <c r="C220" t="s">
        <v>164</v>
      </c>
      <c r="D220" t="s">
        <v>21</v>
      </c>
      <c r="E220" t="s">
        <v>25</v>
      </c>
      <c r="F220" t="s">
        <v>38</v>
      </c>
      <c r="G220">
        <f t="shared" si="3"/>
        <v>514.80000000000007</v>
      </c>
      <c r="H220">
        <v>9</v>
      </c>
      <c r="I220">
        <v>57.2</v>
      </c>
      <c r="J220">
        <v>257.39999999999998</v>
      </c>
      <c r="K220">
        <v>257.40000000000009</v>
      </c>
    </row>
    <row r="221" spans="1:11" x14ac:dyDescent="0.15">
      <c r="A221" s="1">
        <v>42426</v>
      </c>
      <c r="B221">
        <v>100497</v>
      </c>
      <c r="C221" t="s">
        <v>167</v>
      </c>
      <c r="D221" t="s">
        <v>21</v>
      </c>
      <c r="E221" t="s">
        <v>22</v>
      </c>
      <c r="F221" t="s">
        <v>38</v>
      </c>
      <c r="G221">
        <f t="shared" si="3"/>
        <v>405.04</v>
      </c>
      <c r="H221">
        <v>8</v>
      </c>
      <c r="I221">
        <v>50.63</v>
      </c>
      <c r="J221">
        <v>202.52</v>
      </c>
      <c r="K221">
        <v>202.52</v>
      </c>
    </row>
    <row r="222" spans="1:11" x14ac:dyDescent="0.15">
      <c r="A222" s="1">
        <v>42794</v>
      </c>
      <c r="B222">
        <v>102644</v>
      </c>
      <c r="C222" t="s">
        <v>39</v>
      </c>
      <c r="D222" t="s">
        <v>21</v>
      </c>
      <c r="E222" t="s">
        <v>22</v>
      </c>
      <c r="F222" t="s">
        <v>38</v>
      </c>
      <c r="G222">
        <f t="shared" si="3"/>
        <v>284.27</v>
      </c>
      <c r="H222">
        <v>7</v>
      </c>
      <c r="I222">
        <v>40.61</v>
      </c>
      <c r="J222">
        <v>142.13499999999999</v>
      </c>
      <c r="K222">
        <v>142.13499999999999</v>
      </c>
    </row>
    <row r="223" spans="1:11" x14ac:dyDescent="0.15">
      <c r="A223" s="1">
        <v>42860</v>
      </c>
      <c r="B223">
        <v>102794</v>
      </c>
      <c r="C223" t="s">
        <v>223</v>
      </c>
      <c r="D223" t="s">
        <v>21</v>
      </c>
      <c r="E223" t="s">
        <v>25</v>
      </c>
      <c r="F223" t="s">
        <v>38</v>
      </c>
      <c r="G223">
        <f t="shared" si="3"/>
        <v>320.60000000000002</v>
      </c>
      <c r="H223">
        <v>4</v>
      </c>
      <c r="I223">
        <v>80.150000000000006</v>
      </c>
      <c r="J223">
        <v>160.30000000000001</v>
      </c>
      <c r="K223">
        <v>160.30000000000001</v>
      </c>
    </row>
    <row r="224" spans="1:11" x14ac:dyDescent="0.15">
      <c r="A224" s="1">
        <v>43028</v>
      </c>
      <c r="B224">
        <v>102893</v>
      </c>
      <c r="C224" t="s">
        <v>39</v>
      </c>
      <c r="D224" t="s">
        <v>21</v>
      </c>
      <c r="E224" t="s">
        <v>36</v>
      </c>
      <c r="F224" t="s">
        <v>38</v>
      </c>
      <c r="G224">
        <f t="shared" si="3"/>
        <v>865.5</v>
      </c>
      <c r="H224">
        <v>10</v>
      </c>
      <c r="I224">
        <v>86.55</v>
      </c>
      <c r="J224">
        <v>432.75</v>
      </c>
      <c r="K224">
        <v>432.75</v>
      </c>
    </row>
    <row r="225" spans="1:11" x14ac:dyDescent="0.15">
      <c r="A225" s="1">
        <v>42863</v>
      </c>
      <c r="B225">
        <v>103062</v>
      </c>
      <c r="C225" t="s">
        <v>39</v>
      </c>
      <c r="D225" t="s">
        <v>21</v>
      </c>
      <c r="E225" t="s">
        <v>25</v>
      </c>
      <c r="F225" t="s">
        <v>38</v>
      </c>
      <c r="G225">
        <f t="shared" si="3"/>
        <v>570.96</v>
      </c>
      <c r="H225">
        <v>6</v>
      </c>
      <c r="I225">
        <v>95.16</v>
      </c>
      <c r="J225">
        <v>285.48</v>
      </c>
      <c r="K225">
        <v>285.48</v>
      </c>
    </row>
    <row r="226" spans="1:11" x14ac:dyDescent="0.15">
      <c r="A226" s="1">
        <v>43097</v>
      </c>
      <c r="B226">
        <v>103438</v>
      </c>
      <c r="C226" t="s">
        <v>127</v>
      </c>
      <c r="D226" t="s">
        <v>21</v>
      </c>
      <c r="E226" t="s">
        <v>25</v>
      </c>
      <c r="F226" t="s">
        <v>38</v>
      </c>
      <c r="G226">
        <f t="shared" si="3"/>
        <v>152.07</v>
      </c>
      <c r="H226">
        <v>3</v>
      </c>
      <c r="I226">
        <v>50.69</v>
      </c>
      <c r="J226">
        <v>76.034999999999997</v>
      </c>
      <c r="K226">
        <v>76.034999999999997</v>
      </c>
    </row>
    <row r="227" spans="1:11" x14ac:dyDescent="0.15">
      <c r="A227" s="1">
        <v>42992</v>
      </c>
      <c r="B227">
        <v>103508</v>
      </c>
      <c r="C227" t="s">
        <v>167</v>
      </c>
      <c r="D227" t="s">
        <v>21</v>
      </c>
      <c r="E227" t="s">
        <v>36</v>
      </c>
      <c r="F227" t="s">
        <v>38</v>
      </c>
      <c r="G227">
        <f t="shared" si="3"/>
        <v>96.59</v>
      </c>
      <c r="H227">
        <v>1</v>
      </c>
      <c r="I227">
        <v>96.59</v>
      </c>
      <c r="J227">
        <v>48.295000000000002</v>
      </c>
      <c r="K227">
        <v>48.295000000000002</v>
      </c>
    </row>
    <row r="228" spans="1:11" x14ac:dyDescent="0.15">
      <c r="A228" s="1">
        <v>42859</v>
      </c>
      <c r="B228">
        <v>103604</v>
      </c>
      <c r="C228" t="s">
        <v>161</v>
      </c>
      <c r="D228" t="s">
        <v>21</v>
      </c>
      <c r="E228" t="s">
        <v>22</v>
      </c>
      <c r="F228" t="s">
        <v>38</v>
      </c>
      <c r="G228">
        <f t="shared" si="3"/>
        <v>606</v>
      </c>
      <c r="H228">
        <v>8</v>
      </c>
      <c r="I228">
        <v>75.75</v>
      </c>
      <c r="J228">
        <v>303</v>
      </c>
      <c r="K228">
        <v>303</v>
      </c>
    </row>
    <row r="229" spans="1:11" x14ac:dyDescent="0.15">
      <c r="A229" s="1">
        <v>43050</v>
      </c>
      <c r="B229">
        <v>103732</v>
      </c>
      <c r="C229" t="s">
        <v>91</v>
      </c>
      <c r="D229" t="s">
        <v>21</v>
      </c>
      <c r="E229" t="s">
        <v>36</v>
      </c>
      <c r="F229" t="s">
        <v>38</v>
      </c>
      <c r="G229">
        <f t="shared" si="3"/>
        <v>305.28000000000003</v>
      </c>
      <c r="H229">
        <v>6</v>
      </c>
      <c r="I229">
        <v>50.88</v>
      </c>
      <c r="J229">
        <v>152.63999999999999</v>
      </c>
      <c r="K229">
        <v>152.64000000000004</v>
      </c>
    </row>
    <row r="230" spans="1:11" x14ac:dyDescent="0.15">
      <c r="A230" s="1">
        <v>42748</v>
      </c>
      <c r="B230">
        <v>103760</v>
      </c>
      <c r="C230" t="s">
        <v>164</v>
      </c>
      <c r="D230" t="s">
        <v>21</v>
      </c>
      <c r="E230" t="s">
        <v>22</v>
      </c>
      <c r="F230" t="s">
        <v>38</v>
      </c>
      <c r="G230">
        <f t="shared" si="3"/>
        <v>371.12</v>
      </c>
      <c r="H230">
        <v>4</v>
      </c>
      <c r="I230">
        <v>92.78</v>
      </c>
      <c r="J230">
        <v>185.56</v>
      </c>
      <c r="K230">
        <v>185.56</v>
      </c>
    </row>
    <row r="231" spans="1:11" x14ac:dyDescent="0.15">
      <c r="A231" s="1">
        <v>42444</v>
      </c>
      <c r="B231">
        <v>100015</v>
      </c>
      <c r="C231" t="s">
        <v>26</v>
      </c>
      <c r="D231" t="s">
        <v>21</v>
      </c>
      <c r="E231" t="s">
        <v>25</v>
      </c>
      <c r="F231" t="s">
        <v>249</v>
      </c>
      <c r="G231">
        <f t="shared" si="3"/>
        <v>343.12</v>
      </c>
      <c r="H231">
        <v>4</v>
      </c>
      <c r="I231">
        <v>85.78</v>
      </c>
      <c r="J231">
        <v>171.56</v>
      </c>
      <c r="K231">
        <v>171.56</v>
      </c>
    </row>
    <row r="232" spans="1:11" x14ac:dyDescent="0.15">
      <c r="A232" s="1">
        <v>42634</v>
      </c>
      <c r="B232">
        <v>100079</v>
      </c>
      <c r="C232" t="s">
        <v>51</v>
      </c>
      <c r="D232" t="s">
        <v>21</v>
      </c>
      <c r="E232" t="s">
        <v>36</v>
      </c>
      <c r="F232" t="s">
        <v>249</v>
      </c>
      <c r="G232">
        <f t="shared" si="3"/>
        <v>186.7</v>
      </c>
      <c r="H232">
        <v>2</v>
      </c>
      <c r="I232">
        <v>93.35</v>
      </c>
      <c r="J232">
        <v>93.35</v>
      </c>
      <c r="K232">
        <v>93.35</v>
      </c>
    </row>
    <row r="233" spans="1:11" x14ac:dyDescent="0.15">
      <c r="A233" s="1">
        <v>42658</v>
      </c>
      <c r="B233">
        <v>100098</v>
      </c>
      <c r="C233" t="s">
        <v>64</v>
      </c>
      <c r="D233" t="s">
        <v>21</v>
      </c>
      <c r="E233" t="s">
        <v>25</v>
      </c>
      <c r="F233" t="s">
        <v>249</v>
      </c>
      <c r="G233">
        <f t="shared" si="3"/>
        <v>163.92000000000002</v>
      </c>
      <c r="H233">
        <v>3</v>
      </c>
      <c r="I233">
        <v>54.64</v>
      </c>
      <c r="J233">
        <v>81.96</v>
      </c>
      <c r="K233">
        <v>81.960000000000022</v>
      </c>
    </row>
    <row r="234" spans="1:11" x14ac:dyDescent="0.15">
      <c r="A234" s="1">
        <v>42630</v>
      </c>
      <c r="B234">
        <v>100136</v>
      </c>
      <c r="C234" t="s">
        <v>79</v>
      </c>
      <c r="D234" t="s">
        <v>21</v>
      </c>
      <c r="E234" t="s">
        <v>22</v>
      </c>
      <c r="F234" t="s">
        <v>249</v>
      </c>
      <c r="G234">
        <f t="shared" si="3"/>
        <v>354.7</v>
      </c>
      <c r="H234">
        <v>10</v>
      </c>
      <c r="I234">
        <v>35.47</v>
      </c>
      <c r="J234">
        <v>177.35</v>
      </c>
      <c r="K234">
        <v>177.35</v>
      </c>
    </row>
    <row r="235" spans="1:11" x14ac:dyDescent="0.15">
      <c r="A235" s="1">
        <v>42696</v>
      </c>
      <c r="B235">
        <v>100181</v>
      </c>
      <c r="C235" t="s">
        <v>92</v>
      </c>
      <c r="D235" t="s">
        <v>21</v>
      </c>
      <c r="E235" t="s">
        <v>36</v>
      </c>
      <c r="F235" t="s">
        <v>249</v>
      </c>
      <c r="G235">
        <f t="shared" si="3"/>
        <v>127.14000000000001</v>
      </c>
      <c r="H235">
        <v>3</v>
      </c>
      <c r="I235">
        <v>42.38</v>
      </c>
      <c r="J235">
        <v>63.57</v>
      </c>
      <c r="K235">
        <v>63.570000000000014</v>
      </c>
    </row>
    <row r="236" spans="1:11" x14ac:dyDescent="0.15">
      <c r="A236" s="1">
        <v>42377</v>
      </c>
      <c r="B236">
        <v>100203</v>
      </c>
      <c r="C236" t="s">
        <v>101</v>
      </c>
      <c r="D236" t="s">
        <v>21</v>
      </c>
      <c r="E236" t="s">
        <v>25</v>
      </c>
      <c r="F236" t="s">
        <v>249</v>
      </c>
      <c r="G236">
        <f t="shared" si="3"/>
        <v>58.44</v>
      </c>
      <c r="H236">
        <v>4</v>
      </c>
      <c r="I236">
        <v>14.61</v>
      </c>
      <c r="J236">
        <v>29.22</v>
      </c>
      <c r="K236">
        <v>29.22</v>
      </c>
    </row>
    <row r="237" spans="1:11" x14ac:dyDescent="0.15">
      <c r="A237" s="1">
        <v>42716</v>
      </c>
      <c r="B237">
        <v>100318</v>
      </c>
      <c r="C237" t="s">
        <v>133</v>
      </c>
      <c r="D237" t="s">
        <v>21</v>
      </c>
      <c r="E237" t="s">
        <v>25</v>
      </c>
      <c r="F237" t="s">
        <v>249</v>
      </c>
      <c r="G237">
        <f t="shared" si="3"/>
        <v>287.42</v>
      </c>
      <c r="H237">
        <v>7</v>
      </c>
      <c r="I237">
        <v>41.06</v>
      </c>
      <c r="J237">
        <v>143.71</v>
      </c>
      <c r="K237">
        <v>143.71</v>
      </c>
    </row>
    <row r="238" spans="1:11" x14ac:dyDescent="0.15">
      <c r="A238" s="1">
        <v>42568</v>
      </c>
      <c r="B238">
        <v>100323</v>
      </c>
      <c r="C238" t="s">
        <v>51</v>
      </c>
      <c r="D238" t="s">
        <v>21</v>
      </c>
      <c r="E238" t="s">
        <v>25</v>
      </c>
      <c r="F238" t="s">
        <v>249</v>
      </c>
      <c r="G238">
        <f t="shared" si="3"/>
        <v>49.08</v>
      </c>
      <c r="H238">
        <v>6</v>
      </c>
      <c r="I238">
        <v>8.18</v>
      </c>
      <c r="J238">
        <v>24.54</v>
      </c>
      <c r="K238">
        <v>24.54</v>
      </c>
    </row>
    <row r="239" spans="1:11" x14ac:dyDescent="0.15">
      <c r="A239" s="1">
        <v>42671</v>
      </c>
      <c r="B239">
        <v>100331</v>
      </c>
      <c r="C239" t="s">
        <v>131</v>
      </c>
      <c r="D239" t="s">
        <v>21</v>
      </c>
      <c r="E239" t="s">
        <v>22</v>
      </c>
      <c r="F239" t="s">
        <v>249</v>
      </c>
      <c r="G239">
        <f t="shared" si="3"/>
        <v>118.6</v>
      </c>
      <c r="H239">
        <v>5</v>
      </c>
      <c r="I239">
        <v>23.72</v>
      </c>
      <c r="J239">
        <v>59.3</v>
      </c>
      <c r="K239">
        <v>59.3</v>
      </c>
    </row>
    <row r="240" spans="1:11" x14ac:dyDescent="0.15">
      <c r="A240" s="1">
        <v>42437</v>
      </c>
      <c r="B240">
        <v>100393</v>
      </c>
      <c r="C240" t="s">
        <v>144</v>
      </c>
      <c r="D240" t="s">
        <v>21</v>
      </c>
      <c r="E240" t="s">
        <v>36</v>
      </c>
      <c r="F240" t="s">
        <v>249</v>
      </c>
      <c r="G240">
        <f t="shared" si="3"/>
        <v>53.98</v>
      </c>
      <c r="H240">
        <v>2</v>
      </c>
      <c r="I240">
        <v>26.99</v>
      </c>
      <c r="J240">
        <v>26.99</v>
      </c>
      <c r="K240">
        <v>26.99</v>
      </c>
    </row>
    <row r="241" spans="1:11" x14ac:dyDescent="0.15">
      <c r="A241" s="1">
        <v>42510</v>
      </c>
      <c r="B241">
        <v>100479</v>
      </c>
      <c r="C241" t="s">
        <v>87</v>
      </c>
      <c r="D241" t="s">
        <v>21</v>
      </c>
      <c r="E241" t="s">
        <v>36</v>
      </c>
      <c r="F241" t="s">
        <v>249</v>
      </c>
      <c r="G241">
        <f t="shared" si="3"/>
        <v>718.9</v>
      </c>
      <c r="H241">
        <v>10</v>
      </c>
      <c r="I241">
        <v>71.89</v>
      </c>
      <c r="J241">
        <v>359.45</v>
      </c>
      <c r="K241">
        <v>359.45</v>
      </c>
    </row>
    <row r="242" spans="1:11" x14ac:dyDescent="0.15">
      <c r="A242" s="1">
        <v>42534</v>
      </c>
      <c r="B242">
        <v>100485</v>
      </c>
      <c r="C242" t="s">
        <v>162</v>
      </c>
      <c r="D242" t="s">
        <v>21</v>
      </c>
      <c r="E242" t="s">
        <v>25</v>
      </c>
      <c r="F242" t="s">
        <v>249</v>
      </c>
      <c r="G242">
        <f t="shared" si="3"/>
        <v>105</v>
      </c>
      <c r="H242">
        <v>4</v>
      </c>
      <c r="I242">
        <v>26.25</v>
      </c>
      <c r="J242">
        <v>52.5</v>
      </c>
      <c r="K242">
        <v>52.5</v>
      </c>
    </row>
    <row r="243" spans="1:11" x14ac:dyDescent="0.15">
      <c r="A243" s="1">
        <v>42574</v>
      </c>
      <c r="B243">
        <v>100488</v>
      </c>
      <c r="C243" t="s">
        <v>165</v>
      </c>
      <c r="D243" t="s">
        <v>21</v>
      </c>
      <c r="E243" t="s">
        <v>25</v>
      </c>
      <c r="F243" t="s">
        <v>249</v>
      </c>
      <c r="G243">
        <f t="shared" si="3"/>
        <v>14.84</v>
      </c>
      <c r="H243">
        <v>1</v>
      </c>
      <c r="I243">
        <v>14.84</v>
      </c>
      <c r="J243">
        <v>7.42</v>
      </c>
      <c r="K243">
        <v>7.42</v>
      </c>
    </row>
    <row r="244" spans="1:11" x14ac:dyDescent="0.15">
      <c r="A244" s="1">
        <v>42371</v>
      </c>
      <c r="B244">
        <v>100518</v>
      </c>
      <c r="C244" t="s">
        <v>169</v>
      </c>
      <c r="D244" t="s">
        <v>21</v>
      </c>
      <c r="E244" t="s">
        <v>25</v>
      </c>
      <c r="F244" t="s">
        <v>249</v>
      </c>
      <c r="G244">
        <f t="shared" si="3"/>
        <v>258.3</v>
      </c>
      <c r="H244">
        <v>7</v>
      </c>
      <c r="I244">
        <v>36.9</v>
      </c>
      <c r="J244">
        <v>129.15</v>
      </c>
      <c r="K244">
        <v>129.15</v>
      </c>
    </row>
    <row r="245" spans="1:11" x14ac:dyDescent="0.15">
      <c r="A245" s="1">
        <v>42956</v>
      </c>
      <c r="B245">
        <v>102755</v>
      </c>
      <c r="C245" t="s">
        <v>32</v>
      </c>
      <c r="D245" t="s">
        <v>21</v>
      </c>
      <c r="E245" t="s">
        <v>25</v>
      </c>
      <c r="F245" t="s">
        <v>249</v>
      </c>
      <c r="G245">
        <f t="shared" si="3"/>
        <v>692.88</v>
      </c>
      <c r="H245">
        <v>8</v>
      </c>
      <c r="I245">
        <v>86.61</v>
      </c>
      <c r="J245">
        <v>346.44</v>
      </c>
      <c r="K245">
        <v>346.44</v>
      </c>
    </row>
    <row r="246" spans="1:11" x14ac:dyDescent="0.15">
      <c r="A246" s="1">
        <v>43043</v>
      </c>
      <c r="B246">
        <v>102819</v>
      </c>
      <c r="C246" t="s">
        <v>203</v>
      </c>
      <c r="D246" t="s">
        <v>21</v>
      </c>
      <c r="E246" t="s">
        <v>36</v>
      </c>
      <c r="F246" t="s">
        <v>249</v>
      </c>
      <c r="G246">
        <f t="shared" si="3"/>
        <v>438.95000000000005</v>
      </c>
      <c r="H246">
        <v>5</v>
      </c>
      <c r="I246">
        <v>87.79</v>
      </c>
      <c r="J246">
        <v>219.47499999999999</v>
      </c>
      <c r="K246">
        <v>219.47500000000005</v>
      </c>
    </row>
    <row r="247" spans="1:11" x14ac:dyDescent="0.15">
      <c r="A247" s="1">
        <v>43041</v>
      </c>
      <c r="B247">
        <v>102827</v>
      </c>
      <c r="C247" t="s">
        <v>113</v>
      </c>
      <c r="D247" t="s">
        <v>21</v>
      </c>
      <c r="E247" t="s">
        <v>36</v>
      </c>
      <c r="F247" t="s">
        <v>249</v>
      </c>
      <c r="G247">
        <f t="shared" si="3"/>
        <v>142.24</v>
      </c>
      <c r="H247">
        <v>7</v>
      </c>
      <c r="I247">
        <v>20.32</v>
      </c>
      <c r="J247">
        <v>71.12</v>
      </c>
      <c r="K247">
        <v>71.12</v>
      </c>
    </row>
    <row r="248" spans="1:11" x14ac:dyDescent="0.15">
      <c r="A248" s="1">
        <v>42751</v>
      </c>
      <c r="B248">
        <v>102872</v>
      </c>
      <c r="C248" t="s">
        <v>89</v>
      </c>
      <c r="D248" t="s">
        <v>21</v>
      </c>
      <c r="E248" t="s">
        <v>22</v>
      </c>
      <c r="F248" t="s">
        <v>249</v>
      </c>
      <c r="G248">
        <f t="shared" si="3"/>
        <v>30</v>
      </c>
      <c r="H248">
        <v>10</v>
      </c>
      <c r="I248">
        <v>3</v>
      </c>
      <c r="J248">
        <v>15</v>
      </c>
      <c r="K248">
        <v>15</v>
      </c>
    </row>
    <row r="249" spans="1:11" x14ac:dyDescent="0.15">
      <c r="A249" s="1">
        <v>42828</v>
      </c>
      <c r="B249">
        <v>103053</v>
      </c>
      <c r="C249" t="s">
        <v>169</v>
      </c>
      <c r="D249" t="s">
        <v>21</v>
      </c>
      <c r="E249" t="s">
        <v>36</v>
      </c>
      <c r="F249" t="s">
        <v>249</v>
      </c>
      <c r="G249">
        <f t="shared" si="3"/>
        <v>579.25</v>
      </c>
      <c r="H249">
        <v>7</v>
      </c>
      <c r="I249">
        <v>82.75</v>
      </c>
      <c r="J249">
        <v>289.625</v>
      </c>
      <c r="K249">
        <v>289.625</v>
      </c>
    </row>
    <row r="250" spans="1:11" x14ac:dyDescent="0.15">
      <c r="A250" s="1">
        <v>43049</v>
      </c>
      <c r="B250">
        <v>103249</v>
      </c>
      <c r="C250" t="s">
        <v>169</v>
      </c>
      <c r="D250" t="s">
        <v>21</v>
      </c>
      <c r="E250" t="s">
        <v>25</v>
      </c>
      <c r="F250" t="s">
        <v>249</v>
      </c>
      <c r="G250">
        <f t="shared" si="3"/>
        <v>24.65</v>
      </c>
      <c r="H250">
        <v>1</v>
      </c>
      <c r="I250">
        <v>24.65</v>
      </c>
      <c r="J250">
        <v>12.324999999999999</v>
      </c>
      <c r="K250">
        <v>12.324999999999999</v>
      </c>
    </row>
    <row r="251" spans="1:11" x14ac:dyDescent="0.15">
      <c r="A251" s="1">
        <v>42989</v>
      </c>
      <c r="B251">
        <v>103326</v>
      </c>
      <c r="C251" t="s">
        <v>146</v>
      </c>
      <c r="D251" t="s">
        <v>21</v>
      </c>
      <c r="E251" t="s">
        <v>22</v>
      </c>
      <c r="F251" t="s">
        <v>249</v>
      </c>
      <c r="G251">
        <f t="shared" si="3"/>
        <v>167.3</v>
      </c>
      <c r="H251">
        <v>5</v>
      </c>
      <c r="I251">
        <v>33.46</v>
      </c>
      <c r="J251">
        <v>83.65</v>
      </c>
      <c r="K251">
        <v>83.65</v>
      </c>
    </row>
    <row r="252" spans="1:11" x14ac:dyDescent="0.15">
      <c r="A252" s="1">
        <v>42986</v>
      </c>
      <c r="B252">
        <v>103420</v>
      </c>
      <c r="C252" t="s">
        <v>169</v>
      </c>
      <c r="D252" t="s">
        <v>21</v>
      </c>
      <c r="E252" t="s">
        <v>22</v>
      </c>
      <c r="F252" t="s">
        <v>249</v>
      </c>
      <c r="G252">
        <f t="shared" si="3"/>
        <v>17.02</v>
      </c>
      <c r="H252">
        <v>1</v>
      </c>
      <c r="I252">
        <v>17.02</v>
      </c>
      <c r="J252">
        <v>8.51</v>
      </c>
      <c r="K252">
        <v>8.51</v>
      </c>
    </row>
    <row r="253" spans="1:11" x14ac:dyDescent="0.15">
      <c r="A253" s="1">
        <v>42906</v>
      </c>
      <c r="B253">
        <v>103659</v>
      </c>
      <c r="C253" t="s">
        <v>79</v>
      </c>
      <c r="D253" t="s">
        <v>21</v>
      </c>
      <c r="E253" t="s">
        <v>22</v>
      </c>
      <c r="F253" t="s">
        <v>249</v>
      </c>
      <c r="G253">
        <f t="shared" si="3"/>
        <v>17.21</v>
      </c>
      <c r="H253">
        <v>1</v>
      </c>
      <c r="I253">
        <v>17.21</v>
      </c>
      <c r="J253">
        <v>8.6050000000000004</v>
      </c>
      <c r="K253">
        <v>8.6050000000000004</v>
      </c>
    </row>
    <row r="254" spans="1:11" x14ac:dyDescent="0.15">
      <c r="A254" s="1">
        <v>42669</v>
      </c>
      <c r="B254">
        <v>100244</v>
      </c>
      <c r="C254" t="s">
        <v>111</v>
      </c>
      <c r="D254" t="s">
        <v>21</v>
      </c>
      <c r="E254" t="s">
        <v>36</v>
      </c>
      <c r="F254" t="s">
        <v>67</v>
      </c>
      <c r="G254">
        <f t="shared" si="3"/>
        <v>18.060000000000002</v>
      </c>
      <c r="H254">
        <v>7</v>
      </c>
      <c r="I254">
        <v>2.58</v>
      </c>
      <c r="J254">
        <v>9.0299999999999994</v>
      </c>
      <c r="K254">
        <v>9.0300000000000029</v>
      </c>
    </row>
    <row r="255" spans="1:11" x14ac:dyDescent="0.15">
      <c r="A255" s="1">
        <v>42452</v>
      </c>
      <c r="B255">
        <v>100299</v>
      </c>
      <c r="C255" t="s">
        <v>124</v>
      </c>
      <c r="D255" t="s">
        <v>21</v>
      </c>
      <c r="E255" t="s">
        <v>25</v>
      </c>
      <c r="F255" t="s">
        <v>67</v>
      </c>
      <c r="G255">
        <f t="shared" si="3"/>
        <v>99.16</v>
      </c>
      <c r="H255">
        <v>4</v>
      </c>
      <c r="I255">
        <v>24.79</v>
      </c>
      <c r="J255">
        <v>49.58</v>
      </c>
      <c r="K255">
        <v>49.58</v>
      </c>
    </row>
    <row r="256" spans="1:11" x14ac:dyDescent="0.15">
      <c r="A256" s="1">
        <v>42528</v>
      </c>
      <c r="B256">
        <v>100308</v>
      </c>
      <c r="C256" t="s">
        <v>129</v>
      </c>
      <c r="D256" t="s">
        <v>21</v>
      </c>
      <c r="E256" t="s">
        <v>36</v>
      </c>
      <c r="F256" t="s">
        <v>67</v>
      </c>
      <c r="G256">
        <f t="shared" si="3"/>
        <v>31.86</v>
      </c>
      <c r="H256">
        <v>1</v>
      </c>
      <c r="I256">
        <v>31.86</v>
      </c>
      <c r="J256">
        <v>15.93</v>
      </c>
      <c r="K256">
        <v>15.93</v>
      </c>
    </row>
    <row r="257" spans="1:11" x14ac:dyDescent="0.15">
      <c r="A257" s="1">
        <v>42371</v>
      </c>
      <c r="B257">
        <v>100309</v>
      </c>
      <c r="C257" t="s">
        <v>130</v>
      </c>
      <c r="D257" t="s">
        <v>21</v>
      </c>
      <c r="E257" t="s">
        <v>22</v>
      </c>
      <c r="F257" t="s">
        <v>67</v>
      </c>
      <c r="G257">
        <f t="shared" si="3"/>
        <v>656.6</v>
      </c>
      <c r="H257">
        <v>7</v>
      </c>
      <c r="I257">
        <v>93.8</v>
      </c>
      <c r="J257">
        <v>328.3</v>
      </c>
      <c r="K257">
        <v>328.3</v>
      </c>
    </row>
    <row r="258" spans="1:11" x14ac:dyDescent="0.15">
      <c r="A258" s="1">
        <v>42564</v>
      </c>
      <c r="B258">
        <v>100352</v>
      </c>
      <c r="C258" t="s">
        <v>129</v>
      </c>
      <c r="D258" t="s">
        <v>21</v>
      </c>
      <c r="E258" t="s">
        <v>36</v>
      </c>
      <c r="F258" t="s">
        <v>67</v>
      </c>
      <c r="G258">
        <f t="shared" si="3"/>
        <v>42.43</v>
      </c>
      <c r="H258">
        <v>1</v>
      </c>
      <c r="I258">
        <v>42.43</v>
      </c>
      <c r="J258">
        <v>21.215</v>
      </c>
      <c r="K258">
        <v>21.215</v>
      </c>
    </row>
    <row r="259" spans="1:11" x14ac:dyDescent="0.15">
      <c r="A259" s="1">
        <v>42519</v>
      </c>
      <c r="B259">
        <v>100416</v>
      </c>
      <c r="C259" t="s">
        <v>149</v>
      </c>
      <c r="D259" t="s">
        <v>21</v>
      </c>
      <c r="E259" t="s">
        <v>22</v>
      </c>
      <c r="F259" t="s">
        <v>67</v>
      </c>
      <c r="G259">
        <f t="shared" ref="G259:G322" si="4">H259*I259</f>
        <v>81.64</v>
      </c>
      <c r="H259">
        <v>1</v>
      </c>
      <c r="I259">
        <v>81.64</v>
      </c>
      <c r="J259">
        <v>40.82</v>
      </c>
      <c r="K259">
        <v>40.82</v>
      </c>
    </row>
    <row r="260" spans="1:11" x14ac:dyDescent="0.15">
      <c r="A260" s="1">
        <v>42593</v>
      </c>
      <c r="B260">
        <v>100524</v>
      </c>
      <c r="C260" t="s">
        <v>170</v>
      </c>
      <c r="D260" t="s">
        <v>21</v>
      </c>
      <c r="E260" t="s">
        <v>25</v>
      </c>
      <c r="F260" t="s">
        <v>67</v>
      </c>
      <c r="G260">
        <f t="shared" si="4"/>
        <v>432.40000000000003</v>
      </c>
      <c r="H260">
        <v>5</v>
      </c>
      <c r="I260">
        <v>86.48</v>
      </c>
      <c r="J260">
        <v>216.2</v>
      </c>
      <c r="K260">
        <v>216.20000000000005</v>
      </c>
    </row>
    <row r="261" spans="1:11" x14ac:dyDescent="0.15">
      <c r="A261" s="1">
        <v>42468</v>
      </c>
      <c r="B261">
        <v>100593</v>
      </c>
      <c r="C261" t="s">
        <v>179</v>
      </c>
      <c r="D261" t="s">
        <v>21</v>
      </c>
      <c r="E261" t="s">
        <v>22</v>
      </c>
      <c r="F261" t="s">
        <v>67</v>
      </c>
      <c r="G261">
        <f t="shared" si="4"/>
        <v>285.3</v>
      </c>
      <c r="H261">
        <v>5</v>
      </c>
      <c r="I261">
        <v>57.06</v>
      </c>
      <c r="J261">
        <v>142.65</v>
      </c>
      <c r="K261">
        <v>142.65</v>
      </c>
    </row>
    <row r="262" spans="1:11" x14ac:dyDescent="0.15">
      <c r="A262" s="1">
        <v>42843</v>
      </c>
      <c r="B262">
        <v>102843</v>
      </c>
      <c r="C262" t="s">
        <v>178</v>
      </c>
      <c r="D262" t="s">
        <v>21</v>
      </c>
      <c r="E262" t="s">
        <v>22</v>
      </c>
      <c r="F262" t="s">
        <v>67</v>
      </c>
      <c r="G262">
        <f t="shared" si="4"/>
        <v>24.62</v>
      </c>
      <c r="H262">
        <v>1</v>
      </c>
      <c r="I262">
        <v>24.62</v>
      </c>
      <c r="J262">
        <v>12.31</v>
      </c>
      <c r="K262">
        <v>12.31</v>
      </c>
    </row>
    <row r="263" spans="1:11" x14ac:dyDescent="0.15">
      <c r="A263" s="1">
        <v>42936</v>
      </c>
      <c r="B263">
        <v>102897</v>
      </c>
      <c r="C263" t="s">
        <v>219</v>
      </c>
      <c r="D263" t="s">
        <v>21</v>
      </c>
      <c r="E263" t="s">
        <v>22</v>
      </c>
      <c r="F263" t="s">
        <v>67</v>
      </c>
      <c r="G263">
        <f t="shared" si="4"/>
        <v>185.44</v>
      </c>
      <c r="H263">
        <v>8</v>
      </c>
      <c r="I263">
        <v>23.18</v>
      </c>
      <c r="J263">
        <v>92.72</v>
      </c>
      <c r="K263">
        <v>92.72</v>
      </c>
    </row>
    <row r="264" spans="1:11" x14ac:dyDescent="0.15">
      <c r="A264" s="1">
        <v>42971</v>
      </c>
      <c r="B264">
        <v>102929</v>
      </c>
      <c r="C264" t="s">
        <v>168</v>
      </c>
      <c r="D264" t="s">
        <v>21</v>
      </c>
      <c r="E264" t="s">
        <v>22</v>
      </c>
      <c r="F264" t="s">
        <v>67</v>
      </c>
      <c r="G264">
        <f t="shared" si="4"/>
        <v>484.65000000000003</v>
      </c>
      <c r="H264">
        <v>5</v>
      </c>
      <c r="I264">
        <v>96.93</v>
      </c>
      <c r="J264">
        <v>242.32499999999999</v>
      </c>
      <c r="K264">
        <v>242.32500000000005</v>
      </c>
    </row>
    <row r="265" spans="1:11" x14ac:dyDescent="0.15">
      <c r="A265" s="1">
        <v>43003</v>
      </c>
      <c r="B265">
        <v>103276</v>
      </c>
      <c r="C265" t="s">
        <v>198</v>
      </c>
      <c r="D265" t="s">
        <v>21</v>
      </c>
      <c r="E265" t="s">
        <v>25</v>
      </c>
      <c r="F265" t="s">
        <v>67</v>
      </c>
      <c r="G265">
        <f t="shared" si="4"/>
        <v>65.099999999999994</v>
      </c>
      <c r="H265">
        <v>5</v>
      </c>
      <c r="I265">
        <v>13.02</v>
      </c>
      <c r="J265">
        <v>32.549999999999997</v>
      </c>
      <c r="K265">
        <v>32.549999999999997</v>
      </c>
    </row>
    <row r="266" spans="1:11" x14ac:dyDescent="0.15">
      <c r="A266" s="1">
        <v>43035</v>
      </c>
      <c r="B266">
        <v>103281</v>
      </c>
      <c r="C266" t="s">
        <v>214</v>
      </c>
      <c r="D266" t="s">
        <v>21</v>
      </c>
      <c r="E266" t="s">
        <v>25</v>
      </c>
      <c r="F266" t="s">
        <v>67</v>
      </c>
      <c r="G266">
        <f t="shared" si="4"/>
        <v>727.69999999999993</v>
      </c>
      <c r="H266">
        <v>10</v>
      </c>
      <c r="I266">
        <v>72.77</v>
      </c>
      <c r="J266">
        <v>363.85</v>
      </c>
      <c r="K266">
        <v>363.84999999999991</v>
      </c>
    </row>
    <row r="267" spans="1:11" x14ac:dyDescent="0.15">
      <c r="A267" s="1">
        <v>42858</v>
      </c>
      <c r="B267">
        <v>103324</v>
      </c>
      <c r="C267" t="s">
        <v>111</v>
      </c>
      <c r="D267" t="s">
        <v>21</v>
      </c>
      <c r="E267" t="s">
        <v>22</v>
      </c>
      <c r="F267" t="s">
        <v>67</v>
      </c>
      <c r="G267">
        <f t="shared" si="4"/>
        <v>780.88</v>
      </c>
      <c r="H267">
        <v>8</v>
      </c>
      <c r="I267">
        <v>97.61</v>
      </c>
      <c r="J267">
        <v>390.44</v>
      </c>
      <c r="K267">
        <v>390.44</v>
      </c>
    </row>
    <row r="268" spans="1:11" x14ac:dyDescent="0.15">
      <c r="A268" s="1">
        <v>42957</v>
      </c>
      <c r="B268">
        <v>103464</v>
      </c>
      <c r="C268" t="s">
        <v>221</v>
      </c>
      <c r="D268" t="s">
        <v>21</v>
      </c>
      <c r="E268" t="s">
        <v>36</v>
      </c>
      <c r="F268" t="s">
        <v>67</v>
      </c>
      <c r="G268">
        <f t="shared" si="4"/>
        <v>495.45</v>
      </c>
      <c r="H268">
        <v>9</v>
      </c>
      <c r="I268">
        <v>55.05</v>
      </c>
      <c r="J268">
        <v>247.72499999999999</v>
      </c>
      <c r="K268">
        <v>247.72499999999999</v>
      </c>
    </row>
    <row r="269" spans="1:11" x14ac:dyDescent="0.15">
      <c r="A269" s="1">
        <v>42799</v>
      </c>
      <c r="B269">
        <v>103484</v>
      </c>
      <c r="C269" t="s">
        <v>235</v>
      </c>
      <c r="D269" t="s">
        <v>21</v>
      </c>
      <c r="E269" t="s">
        <v>25</v>
      </c>
      <c r="F269" t="s">
        <v>67</v>
      </c>
      <c r="G269">
        <f t="shared" si="4"/>
        <v>9.4600000000000009</v>
      </c>
      <c r="H269">
        <v>1</v>
      </c>
      <c r="I269">
        <v>9.4600000000000009</v>
      </c>
      <c r="J269">
        <v>4.7300000000000004</v>
      </c>
      <c r="K269">
        <v>4.7300000000000004</v>
      </c>
    </row>
    <row r="270" spans="1:11" x14ac:dyDescent="0.15">
      <c r="A270" s="1">
        <v>42851</v>
      </c>
      <c r="B270">
        <v>103625</v>
      </c>
      <c r="C270" t="s">
        <v>196</v>
      </c>
      <c r="D270" t="s">
        <v>21</v>
      </c>
      <c r="E270" t="s">
        <v>22</v>
      </c>
      <c r="F270" t="s">
        <v>67</v>
      </c>
      <c r="G270">
        <f t="shared" si="4"/>
        <v>79.86</v>
      </c>
      <c r="H270">
        <v>2</v>
      </c>
      <c r="I270">
        <v>39.93</v>
      </c>
      <c r="J270">
        <v>39.93</v>
      </c>
      <c r="K270">
        <v>39.93</v>
      </c>
    </row>
    <row r="271" spans="1:11" x14ac:dyDescent="0.15">
      <c r="A271" s="1">
        <v>42820</v>
      </c>
      <c r="B271">
        <v>103670</v>
      </c>
      <c r="C271" t="s">
        <v>219</v>
      </c>
      <c r="D271" t="s">
        <v>21</v>
      </c>
      <c r="E271" t="s">
        <v>25</v>
      </c>
      <c r="F271" t="s">
        <v>67</v>
      </c>
      <c r="G271">
        <f t="shared" si="4"/>
        <v>557.41</v>
      </c>
      <c r="H271">
        <v>7</v>
      </c>
      <c r="I271">
        <v>79.63</v>
      </c>
      <c r="J271">
        <v>278.70499999999998</v>
      </c>
      <c r="K271">
        <v>278.70499999999998</v>
      </c>
    </row>
    <row r="272" spans="1:11" x14ac:dyDescent="0.15">
      <c r="A272" s="1">
        <v>43014</v>
      </c>
      <c r="B272">
        <v>103709</v>
      </c>
      <c r="C272" t="s">
        <v>237</v>
      </c>
      <c r="D272" t="s">
        <v>21</v>
      </c>
      <c r="E272" t="s">
        <v>22</v>
      </c>
      <c r="F272" t="s">
        <v>67</v>
      </c>
      <c r="G272">
        <f t="shared" si="4"/>
        <v>140.82</v>
      </c>
      <c r="H272">
        <v>2</v>
      </c>
      <c r="I272">
        <v>70.41</v>
      </c>
      <c r="J272">
        <v>70.41</v>
      </c>
      <c r="K272">
        <v>70.41</v>
      </c>
    </row>
    <row r="273" spans="1:11" x14ac:dyDescent="0.15">
      <c r="A273" s="1">
        <v>42850</v>
      </c>
      <c r="B273">
        <v>103744</v>
      </c>
      <c r="C273" t="s">
        <v>130</v>
      </c>
      <c r="D273" t="s">
        <v>21</v>
      </c>
      <c r="E273" t="s">
        <v>22</v>
      </c>
      <c r="F273" t="s">
        <v>67</v>
      </c>
      <c r="G273">
        <f t="shared" si="4"/>
        <v>457.2</v>
      </c>
      <c r="H273">
        <v>10</v>
      </c>
      <c r="I273">
        <v>45.72</v>
      </c>
      <c r="J273">
        <v>228.6</v>
      </c>
      <c r="K273">
        <v>228.6</v>
      </c>
    </row>
    <row r="274" spans="1:11" x14ac:dyDescent="0.15">
      <c r="A274" s="1">
        <v>42622</v>
      </c>
      <c r="B274">
        <v>100432</v>
      </c>
      <c r="C274" t="s">
        <v>154</v>
      </c>
      <c r="D274" t="s">
        <v>21</v>
      </c>
      <c r="E274" t="s">
        <v>25</v>
      </c>
      <c r="F274" t="s">
        <v>153</v>
      </c>
      <c r="G274">
        <f t="shared" si="4"/>
        <v>18.010000000000002</v>
      </c>
      <c r="H274">
        <v>1</v>
      </c>
      <c r="I274">
        <v>18.010000000000002</v>
      </c>
      <c r="J274">
        <v>9.0050000000000008</v>
      </c>
      <c r="K274">
        <v>9.0050000000000008</v>
      </c>
    </row>
    <row r="275" spans="1:11" x14ac:dyDescent="0.15">
      <c r="A275" s="1">
        <v>42431</v>
      </c>
      <c r="B275">
        <v>100064</v>
      </c>
      <c r="C275" t="s">
        <v>47</v>
      </c>
      <c r="D275" t="s">
        <v>21</v>
      </c>
      <c r="E275" t="s">
        <v>25</v>
      </c>
      <c r="F275" t="s">
        <v>23</v>
      </c>
      <c r="G275">
        <f t="shared" si="4"/>
        <v>365.52</v>
      </c>
      <c r="H275">
        <v>6</v>
      </c>
      <c r="I275">
        <v>60.92</v>
      </c>
      <c r="J275">
        <v>182.76</v>
      </c>
      <c r="K275">
        <v>182.76</v>
      </c>
    </row>
    <row r="276" spans="1:11" x14ac:dyDescent="0.15">
      <c r="A276" s="1">
        <v>42566</v>
      </c>
      <c r="B276">
        <v>100072</v>
      </c>
      <c r="C276" t="s">
        <v>49</v>
      </c>
      <c r="D276" t="s">
        <v>21</v>
      </c>
      <c r="E276" t="s">
        <v>25</v>
      </c>
      <c r="F276" t="s">
        <v>23</v>
      </c>
      <c r="G276">
        <f t="shared" si="4"/>
        <v>707.30000000000007</v>
      </c>
      <c r="H276">
        <v>10</v>
      </c>
      <c r="I276">
        <v>70.73</v>
      </c>
      <c r="J276">
        <v>353.65</v>
      </c>
      <c r="K276">
        <v>353.65000000000009</v>
      </c>
    </row>
    <row r="277" spans="1:11" x14ac:dyDescent="0.15">
      <c r="A277" s="1">
        <v>42521</v>
      </c>
      <c r="B277">
        <v>100152</v>
      </c>
      <c r="C277" t="s">
        <v>83</v>
      </c>
      <c r="D277" t="s">
        <v>21</v>
      </c>
      <c r="E277" t="s">
        <v>25</v>
      </c>
      <c r="F277" t="s">
        <v>23</v>
      </c>
      <c r="G277">
        <f t="shared" si="4"/>
        <v>273.76</v>
      </c>
      <c r="H277">
        <v>4</v>
      </c>
      <c r="I277">
        <v>68.44</v>
      </c>
      <c r="J277">
        <v>136.88</v>
      </c>
      <c r="K277">
        <v>136.88</v>
      </c>
    </row>
    <row r="278" spans="1:11" x14ac:dyDescent="0.15">
      <c r="A278" s="1">
        <v>42602</v>
      </c>
      <c r="B278">
        <v>100260</v>
      </c>
      <c r="C278" t="s">
        <v>114</v>
      </c>
      <c r="D278" t="s">
        <v>21</v>
      </c>
      <c r="E278" t="s">
        <v>36</v>
      </c>
      <c r="F278" t="s">
        <v>23</v>
      </c>
      <c r="G278">
        <f t="shared" si="4"/>
        <v>587.91999999999996</v>
      </c>
      <c r="H278">
        <v>8</v>
      </c>
      <c r="I278">
        <v>73.489999999999995</v>
      </c>
      <c r="J278">
        <v>293.95999999999998</v>
      </c>
      <c r="K278">
        <v>293.95999999999998</v>
      </c>
    </row>
    <row r="279" spans="1:11" x14ac:dyDescent="0.15">
      <c r="A279" s="1">
        <v>42729</v>
      </c>
      <c r="B279">
        <v>100292</v>
      </c>
      <c r="C279" t="s">
        <v>82</v>
      </c>
      <c r="D279" t="s">
        <v>21</v>
      </c>
      <c r="E279" t="s">
        <v>36</v>
      </c>
      <c r="F279" t="s">
        <v>23</v>
      </c>
      <c r="G279">
        <f t="shared" si="4"/>
        <v>673.76</v>
      </c>
      <c r="H279">
        <v>8</v>
      </c>
      <c r="I279">
        <v>84.22</v>
      </c>
      <c r="J279">
        <v>336.88</v>
      </c>
      <c r="K279">
        <v>336.88</v>
      </c>
    </row>
    <row r="280" spans="1:11" x14ac:dyDescent="0.15">
      <c r="A280" s="1">
        <v>42524</v>
      </c>
      <c r="B280">
        <v>100362</v>
      </c>
      <c r="C280" t="s">
        <v>138</v>
      </c>
      <c r="D280" t="s">
        <v>21</v>
      </c>
      <c r="E280" t="s">
        <v>22</v>
      </c>
      <c r="F280" t="s">
        <v>23</v>
      </c>
      <c r="G280">
        <f t="shared" si="4"/>
        <v>294.71999999999997</v>
      </c>
      <c r="H280">
        <v>3</v>
      </c>
      <c r="I280">
        <v>98.24</v>
      </c>
      <c r="J280">
        <v>147.36000000000001</v>
      </c>
      <c r="K280">
        <v>147.35999999999996</v>
      </c>
    </row>
    <row r="281" spans="1:11" x14ac:dyDescent="0.15">
      <c r="A281" s="1">
        <v>42425</v>
      </c>
      <c r="B281">
        <v>100444</v>
      </c>
      <c r="C281" t="s">
        <v>157</v>
      </c>
      <c r="D281" t="s">
        <v>21</v>
      </c>
      <c r="E281" t="s">
        <v>36</v>
      </c>
      <c r="F281" t="s">
        <v>23</v>
      </c>
      <c r="G281">
        <f t="shared" si="4"/>
        <v>246.09</v>
      </c>
      <c r="H281">
        <v>3</v>
      </c>
      <c r="I281">
        <v>82.03</v>
      </c>
      <c r="J281">
        <v>123.045</v>
      </c>
      <c r="K281">
        <v>123.045</v>
      </c>
    </row>
    <row r="282" spans="1:11" x14ac:dyDescent="0.15">
      <c r="A282" s="1">
        <v>42418</v>
      </c>
      <c r="B282">
        <v>100459</v>
      </c>
      <c r="C282" t="s">
        <v>145</v>
      </c>
      <c r="D282" t="s">
        <v>21</v>
      </c>
      <c r="E282" t="s">
        <v>22</v>
      </c>
      <c r="F282" t="s">
        <v>23</v>
      </c>
      <c r="G282">
        <f t="shared" si="4"/>
        <v>465.66</v>
      </c>
      <c r="H282">
        <v>9</v>
      </c>
      <c r="I282">
        <v>51.74</v>
      </c>
      <c r="J282">
        <v>232.83</v>
      </c>
      <c r="K282">
        <v>232.83</v>
      </c>
    </row>
    <row r="283" spans="1:11" x14ac:dyDescent="0.15">
      <c r="A283" s="1">
        <v>42551</v>
      </c>
      <c r="B283">
        <v>100533</v>
      </c>
      <c r="C283" t="s">
        <v>172</v>
      </c>
      <c r="D283" t="s">
        <v>21</v>
      </c>
      <c r="E283" t="s">
        <v>36</v>
      </c>
      <c r="F283" t="s">
        <v>23</v>
      </c>
      <c r="G283">
        <f t="shared" si="4"/>
        <v>784.64</v>
      </c>
      <c r="H283">
        <v>8</v>
      </c>
      <c r="I283">
        <v>98.08</v>
      </c>
      <c r="J283">
        <v>392.32</v>
      </c>
      <c r="K283">
        <v>392.32</v>
      </c>
    </row>
    <row r="284" spans="1:11" x14ac:dyDescent="0.15">
      <c r="A284" s="1">
        <v>42853</v>
      </c>
      <c r="B284">
        <v>102650</v>
      </c>
      <c r="C284" t="s">
        <v>184</v>
      </c>
      <c r="D284" t="s">
        <v>21</v>
      </c>
      <c r="E284" t="s">
        <v>36</v>
      </c>
      <c r="F284" t="s">
        <v>23</v>
      </c>
      <c r="G284">
        <f t="shared" si="4"/>
        <v>101.36</v>
      </c>
      <c r="H284">
        <v>8</v>
      </c>
      <c r="I284">
        <v>12.67</v>
      </c>
      <c r="J284">
        <v>50.68</v>
      </c>
      <c r="K284">
        <v>50.68</v>
      </c>
    </row>
    <row r="285" spans="1:11" x14ac:dyDescent="0.15">
      <c r="A285" s="1">
        <v>42888</v>
      </c>
      <c r="B285">
        <v>102653</v>
      </c>
      <c r="C285" t="s">
        <v>43</v>
      </c>
      <c r="D285" t="s">
        <v>21</v>
      </c>
      <c r="E285" t="s">
        <v>25</v>
      </c>
      <c r="F285" t="s">
        <v>23</v>
      </c>
      <c r="G285">
        <f t="shared" si="4"/>
        <v>79.650000000000006</v>
      </c>
      <c r="H285">
        <v>1</v>
      </c>
      <c r="I285">
        <v>79.650000000000006</v>
      </c>
      <c r="J285">
        <v>39.825000000000003</v>
      </c>
      <c r="K285">
        <v>39.825000000000003</v>
      </c>
    </row>
    <row r="286" spans="1:11" x14ac:dyDescent="0.15">
      <c r="A286" s="1">
        <v>42888</v>
      </c>
      <c r="B286">
        <v>102653</v>
      </c>
      <c r="C286" t="s">
        <v>31</v>
      </c>
      <c r="D286" t="s">
        <v>21</v>
      </c>
      <c r="E286" t="s">
        <v>25</v>
      </c>
      <c r="F286" t="s">
        <v>23</v>
      </c>
      <c r="G286">
        <f t="shared" si="4"/>
        <v>232.8</v>
      </c>
      <c r="H286">
        <v>8</v>
      </c>
      <c r="I286">
        <v>29.1</v>
      </c>
      <c r="J286">
        <v>116.4</v>
      </c>
      <c r="K286">
        <v>116.4</v>
      </c>
    </row>
    <row r="287" spans="1:11" x14ac:dyDescent="0.15">
      <c r="A287" s="1">
        <v>42915</v>
      </c>
      <c r="B287">
        <v>102657</v>
      </c>
      <c r="C287" t="s">
        <v>31</v>
      </c>
      <c r="D287" t="s">
        <v>21</v>
      </c>
      <c r="E287" t="s">
        <v>36</v>
      </c>
      <c r="F287" t="s">
        <v>23</v>
      </c>
      <c r="G287">
        <f t="shared" si="4"/>
        <v>180.84</v>
      </c>
      <c r="H287">
        <v>2</v>
      </c>
      <c r="I287">
        <v>90.42</v>
      </c>
      <c r="J287">
        <v>90.42</v>
      </c>
      <c r="K287">
        <v>90.42</v>
      </c>
    </row>
    <row r="288" spans="1:11" x14ac:dyDescent="0.15">
      <c r="A288" s="1">
        <v>43083</v>
      </c>
      <c r="B288">
        <v>102764</v>
      </c>
      <c r="C288" t="s">
        <v>157</v>
      </c>
      <c r="D288" t="s">
        <v>21</v>
      </c>
      <c r="E288" t="s">
        <v>25</v>
      </c>
      <c r="F288" t="s">
        <v>23</v>
      </c>
      <c r="G288">
        <f t="shared" si="4"/>
        <v>67.14</v>
      </c>
      <c r="H288">
        <v>9</v>
      </c>
      <c r="I288">
        <v>7.46</v>
      </c>
      <c r="J288">
        <v>33.57</v>
      </c>
      <c r="K288">
        <v>33.57</v>
      </c>
    </row>
    <row r="289" spans="1:11" x14ac:dyDescent="0.15">
      <c r="A289" s="1">
        <v>42982</v>
      </c>
      <c r="B289">
        <v>102768</v>
      </c>
      <c r="C289" t="s">
        <v>152</v>
      </c>
      <c r="D289" t="s">
        <v>21</v>
      </c>
      <c r="E289" t="s">
        <v>22</v>
      </c>
      <c r="F289" t="s">
        <v>23</v>
      </c>
      <c r="G289">
        <f t="shared" si="4"/>
        <v>482.93999999999994</v>
      </c>
      <c r="H289">
        <v>9</v>
      </c>
      <c r="I289">
        <v>53.66</v>
      </c>
      <c r="J289">
        <v>241.47</v>
      </c>
      <c r="K289">
        <v>241.46999999999994</v>
      </c>
    </row>
    <row r="290" spans="1:11" x14ac:dyDescent="0.15">
      <c r="A290" s="1">
        <v>43044</v>
      </c>
      <c r="B290">
        <v>102807</v>
      </c>
      <c r="C290" t="s">
        <v>85</v>
      </c>
      <c r="D290" t="s">
        <v>21</v>
      </c>
      <c r="E290" t="s">
        <v>22</v>
      </c>
      <c r="F290" t="s">
        <v>23</v>
      </c>
      <c r="G290">
        <f t="shared" si="4"/>
        <v>20.399999999999999</v>
      </c>
      <c r="H290">
        <v>4</v>
      </c>
      <c r="I290">
        <v>5.0999999999999996</v>
      </c>
      <c r="J290">
        <v>10.199999999999999</v>
      </c>
      <c r="K290">
        <v>10.199999999999999</v>
      </c>
    </row>
    <row r="291" spans="1:11" x14ac:dyDescent="0.15">
      <c r="A291" s="1">
        <v>43041</v>
      </c>
      <c r="B291">
        <v>102827</v>
      </c>
      <c r="C291" t="s">
        <v>186</v>
      </c>
      <c r="D291" t="s">
        <v>21</v>
      </c>
      <c r="E291" t="s">
        <v>36</v>
      </c>
      <c r="F291" t="s">
        <v>23</v>
      </c>
      <c r="G291">
        <f t="shared" si="4"/>
        <v>130.17000000000002</v>
      </c>
      <c r="H291">
        <v>3</v>
      </c>
      <c r="I291">
        <v>43.39</v>
      </c>
      <c r="J291">
        <v>65.084999999999994</v>
      </c>
      <c r="K291">
        <v>65.085000000000022</v>
      </c>
    </row>
    <row r="292" spans="1:11" x14ac:dyDescent="0.15">
      <c r="A292" s="1">
        <v>42843</v>
      </c>
      <c r="B292">
        <v>102843</v>
      </c>
      <c r="C292" t="s">
        <v>80</v>
      </c>
      <c r="D292" t="s">
        <v>21</v>
      </c>
      <c r="E292" t="s">
        <v>22</v>
      </c>
      <c r="F292" t="s">
        <v>23</v>
      </c>
      <c r="G292">
        <f t="shared" si="4"/>
        <v>138.78</v>
      </c>
      <c r="H292">
        <v>2</v>
      </c>
      <c r="I292">
        <v>69.39</v>
      </c>
      <c r="J292">
        <v>69.39</v>
      </c>
      <c r="K292">
        <v>69.39</v>
      </c>
    </row>
    <row r="293" spans="1:11" x14ac:dyDescent="0.15">
      <c r="A293" s="1">
        <v>42860</v>
      </c>
      <c r="B293">
        <v>102946</v>
      </c>
      <c r="C293" t="s">
        <v>85</v>
      </c>
      <c r="D293" t="s">
        <v>21</v>
      </c>
      <c r="E293" t="s">
        <v>22</v>
      </c>
      <c r="F293" t="s">
        <v>23</v>
      </c>
      <c r="G293">
        <f t="shared" si="4"/>
        <v>71.900000000000006</v>
      </c>
      <c r="H293">
        <v>10</v>
      </c>
      <c r="I293">
        <v>7.19</v>
      </c>
      <c r="J293">
        <v>35.950000000000003</v>
      </c>
      <c r="K293">
        <v>35.950000000000003</v>
      </c>
    </row>
    <row r="294" spans="1:11" x14ac:dyDescent="0.15">
      <c r="A294" s="1">
        <v>43078</v>
      </c>
      <c r="B294">
        <v>103220</v>
      </c>
      <c r="C294" t="s">
        <v>184</v>
      </c>
      <c r="D294" t="s">
        <v>21</v>
      </c>
      <c r="E294" t="s">
        <v>36</v>
      </c>
      <c r="F294" t="s">
        <v>23</v>
      </c>
      <c r="G294">
        <f t="shared" si="4"/>
        <v>105.53999999999999</v>
      </c>
      <c r="H294">
        <v>3</v>
      </c>
      <c r="I294">
        <v>35.18</v>
      </c>
      <c r="J294">
        <v>52.77</v>
      </c>
      <c r="K294">
        <v>52.769999999999989</v>
      </c>
    </row>
    <row r="295" spans="1:11" x14ac:dyDescent="0.15">
      <c r="A295" s="1">
        <v>42957</v>
      </c>
      <c r="B295">
        <v>103464</v>
      </c>
      <c r="C295" t="s">
        <v>24</v>
      </c>
      <c r="D295" t="s">
        <v>21</v>
      </c>
      <c r="E295" t="s">
        <v>36</v>
      </c>
      <c r="F295" t="s">
        <v>23</v>
      </c>
      <c r="G295">
        <f t="shared" si="4"/>
        <v>34.619999999999997</v>
      </c>
      <c r="H295">
        <v>2</v>
      </c>
      <c r="I295">
        <v>17.309999999999999</v>
      </c>
      <c r="J295">
        <v>17.309999999999999</v>
      </c>
      <c r="K295">
        <v>17.309999999999999</v>
      </c>
    </row>
    <row r="296" spans="1:11" x14ac:dyDescent="0.15">
      <c r="A296" s="1">
        <v>42794</v>
      </c>
      <c r="B296">
        <v>103579</v>
      </c>
      <c r="C296" t="s">
        <v>44</v>
      </c>
      <c r="D296" t="s">
        <v>21</v>
      </c>
      <c r="E296" t="s">
        <v>25</v>
      </c>
      <c r="F296" t="s">
        <v>23</v>
      </c>
      <c r="G296">
        <f t="shared" si="4"/>
        <v>263.09999999999997</v>
      </c>
      <c r="H296">
        <v>10</v>
      </c>
      <c r="I296">
        <v>26.31</v>
      </c>
      <c r="J296">
        <v>131.55000000000001</v>
      </c>
      <c r="K296">
        <v>131.54999999999995</v>
      </c>
    </row>
    <row r="297" spans="1:11" x14ac:dyDescent="0.15">
      <c r="A297" s="1">
        <v>42891</v>
      </c>
      <c r="B297">
        <v>103595</v>
      </c>
      <c r="C297" t="s">
        <v>192</v>
      </c>
      <c r="D297" t="s">
        <v>21</v>
      </c>
      <c r="E297" t="s">
        <v>25</v>
      </c>
      <c r="F297" t="s">
        <v>23</v>
      </c>
      <c r="G297">
        <f t="shared" si="4"/>
        <v>69.81</v>
      </c>
      <c r="H297">
        <v>3</v>
      </c>
      <c r="I297">
        <v>23.27</v>
      </c>
      <c r="J297">
        <v>34.905000000000001</v>
      </c>
      <c r="K297">
        <v>34.905000000000001</v>
      </c>
    </row>
    <row r="298" spans="1:11" x14ac:dyDescent="0.15">
      <c r="A298" s="1">
        <v>43082</v>
      </c>
      <c r="B298">
        <v>103715</v>
      </c>
      <c r="C298" t="s">
        <v>114</v>
      </c>
      <c r="D298" t="s">
        <v>21</v>
      </c>
      <c r="E298" t="s">
        <v>36</v>
      </c>
      <c r="F298" t="s">
        <v>23</v>
      </c>
      <c r="G298">
        <f t="shared" si="4"/>
        <v>4.2</v>
      </c>
      <c r="H298">
        <v>2</v>
      </c>
      <c r="I298">
        <v>2.1</v>
      </c>
      <c r="J298">
        <v>2.1</v>
      </c>
      <c r="K298">
        <v>2.1</v>
      </c>
    </row>
    <row r="299" spans="1:11" x14ac:dyDescent="0.15">
      <c r="A299" s="1">
        <v>42698</v>
      </c>
      <c r="B299">
        <v>100270</v>
      </c>
      <c r="C299" t="s">
        <v>117</v>
      </c>
      <c r="D299" t="s">
        <v>21</v>
      </c>
      <c r="E299" t="s">
        <v>22</v>
      </c>
      <c r="F299" t="s">
        <v>74</v>
      </c>
      <c r="G299">
        <f t="shared" si="4"/>
        <v>502.59999999999997</v>
      </c>
      <c r="H299">
        <v>7</v>
      </c>
      <c r="I299">
        <v>71.8</v>
      </c>
      <c r="J299">
        <v>251.3</v>
      </c>
      <c r="K299">
        <v>251.29999999999995</v>
      </c>
    </row>
    <row r="300" spans="1:11" x14ac:dyDescent="0.15">
      <c r="A300" s="1">
        <v>43082</v>
      </c>
      <c r="B300">
        <v>102880</v>
      </c>
      <c r="C300" t="s">
        <v>75</v>
      </c>
      <c r="D300" t="s">
        <v>21</v>
      </c>
      <c r="E300" t="s">
        <v>22</v>
      </c>
      <c r="F300" t="s">
        <v>74</v>
      </c>
      <c r="G300">
        <f t="shared" si="4"/>
        <v>83.58</v>
      </c>
      <c r="H300">
        <v>6</v>
      </c>
      <c r="I300">
        <v>13.93</v>
      </c>
      <c r="J300">
        <v>41.79</v>
      </c>
      <c r="K300">
        <v>41.79</v>
      </c>
    </row>
    <row r="301" spans="1:11" x14ac:dyDescent="0.15">
      <c r="A301" s="1">
        <v>42823</v>
      </c>
      <c r="B301">
        <v>103028</v>
      </c>
      <c r="C301" t="s">
        <v>75</v>
      </c>
      <c r="D301" t="s">
        <v>21</v>
      </c>
      <c r="E301" t="s">
        <v>36</v>
      </c>
      <c r="F301" t="s">
        <v>74</v>
      </c>
      <c r="G301">
        <f t="shared" si="4"/>
        <v>37.22</v>
      </c>
      <c r="H301">
        <v>2</v>
      </c>
      <c r="I301">
        <v>18.61</v>
      </c>
      <c r="J301">
        <v>18.61</v>
      </c>
      <c r="K301">
        <v>18.61</v>
      </c>
    </row>
    <row r="302" spans="1:11" x14ac:dyDescent="0.15">
      <c r="A302" s="1">
        <v>43080</v>
      </c>
      <c r="B302">
        <v>103149</v>
      </c>
      <c r="C302" t="s">
        <v>175</v>
      </c>
      <c r="D302" t="s">
        <v>21</v>
      </c>
      <c r="E302" t="s">
        <v>22</v>
      </c>
      <c r="F302" t="s">
        <v>74</v>
      </c>
      <c r="G302">
        <f t="shared" si="4"/>
        <v>494.48</v>
      </c>
      <c r="H302">
        <v>7</v>
      </c>
      <c r="I302">
        <v>70.64</v>
      </c>
      <c r="J302">
        <v>247.24</v>
      </c>
      <c r="K302">
        <v>247.24</v>
      </c>
    </row>
    <row r="303" spans="1:11" x14ac:dyDescent="0.15">
      <c r="A303" s="1">
        <v>42837</v>
      </c>
      <c r="B303">
        <v>103201</v>
      </c>
      <c r="C303" t="s">
        <v>134</v>
      </c>
      <c r="D303" t="s">
        <v>21</v>
      </c>
      <c r="E303" t="s">
        <v>22</v>
      </c>
      <c r="F303" t="s">
        <v>74</v>
      </c>
      <c r="G303">
        <f t="shared" si="4"/>
        <v>62</v>
      </c>
      <c r="H303">
        <v>2</v>
      </c>
      <c r="I303">
        <v>31</v>
      </c>
      <c r="J303">
        <v>31</v>
      </c>
      <c r="K303">
        <v>31</v>
      </c>
    </row>
    <row r="304" spans="1:11" x14ac:dyDescent="0.15">
      <c r="A304" s="1">
        <v>42768</v>
      </c>
      <c r="B304">
        <v>103404</v>
      </c>
      <c r="C304" t="s">
        <v>140</v>
      </c>
      <c r="D304" t="s">
        <v>21</v>
      </c>
      <c r="E304" t="s">
        <v>36</v>
      </c>
      <c r="F304" t="s">
        <v>74</v>
      </c>
      <c r="G304">
        <f t="shared" si="4"/>
        <v>71.27</v>
      </c>
      <c r="H304">
        <v>1</v>
      </c>
      <c r="I304">
        <v>71.27</v>
      </c>
      <c r="J304">
        <v>35.634999999999998</v>
      </c>
      <c r="K304">
        <v>35.634999999999998</v>
      </c>
    </row>
    <row r="305" spans="1:11" x14ac:dyDescent="0.15">
      <c r="A305" s="1">
        <v>42791</v>
      </c>
      <c r="B305">
        <v>103507</v>
      </c>
      <c r="C305" t="s">
        <v>140</v>
      </c>
      <c r="D305" t="s">
        <v>21</v>
      </c>
      <c r="E305" t="s">
        <v>22</v>
      </c>
      <c r="F305" t="s">
        <v>74</v>
      </c>
      <c r="G305">
        <f t="shared" si="4"/>
        <v>742.30000000000007</v>
      </c>
      <c r="H305">
        <v>10</v>
      </c>
      <c r="I305">
        <v>74.23</v>
      </c>
      <c r="J305">
        <v>371.15</v>
      </c>
      <c r="K305">
        <v>371.15000000000009</v>
      </c>
    </row>
    <row r="306" spans="1:11" x14ac:dyDescent="0.15">
      <c r="A306" s="1">
        <v>43075</v>
      </c>
      <c r="B306">
        <v>103566</v>
      </c>
      <c r="C306" t="s">
        <v>140</v>
      </c>
      <c r="D306" t="s">
        <v>21</v>
      </c>
      <c r="E306" t="s">
        <v>36</v>
      </c>
      <c r="F306" t="s">
        <v>74</v>
      </c>
      <c r="G306">
        <f t="shared" si="4"/>
        <v>433.20000000000005</v>
      </c>
      <c r="H306">
        <v>6</v>
      </c>
      <c r="I306">
        <v>72.2</v>
      </c>
      <c r="J306">
        <v>216.6</v>
      </c>
      <c r="K306">
        <v>216.60000000000005</v>
      </c>
    </row>
    <row r="307" spans="1:11" x14ac:dyDescent="0.15">
      <c r="A307" s="1">
        <v>42667</v>
      </c>
      <c r="B307">
        <v>100178</v>
      </c>
      <c r="C307" t="s">
        <v>90</v>
      </c>
      <c r="D307" t="s">
        <v>21</v>
      </c>
      <c r="E307" t="s">
        <v>25</v>
      </c>
      <c r="F307" t="s">
        <v>65</v>
      </c>
      <c r="G307">
        <f t="shared" si="4"/>
        <v>175.18</v>
      </c>
      <c r="H307">
        <v>2</v>
      </c>
      <c r="I307">
        <v>87.59</v>
      </c>
      <c r="J307">
        <v>87.59</v>
      </c>
      <c r="K307">
        <v>87.59</v>
      </c>
    </row>
    <row r="308" spans="1:11" x14ac:dyDescent="0.15">
      <c r="A308" s="1">
        <v>42549</v>
      </c>
      <c r="B308">
        <v>100346</v>
      </c>
      <c r="C308" t="s">
        <v>66</v>
      </c>
      <c r="D308" t="s">
        <v>21</v>
      </c>
      <c r="E308" t="s">
        <v>25</v>
      </c>
      <c r="F308" t="s">
        <v>65</v>
      </c>
      <c r="G308">
        <f t="shared" si="4"/>
        <v>493.29</v>
      </c>
      <c r="H308">
        <v>9</v>
      </c>
      <c r="I308">
        <v>54.81</v>
      </c>
      <c r="J308">
        <v>246.64500000000001</v>
      </c>
      <c r="K308">
        <v>246.64500000000001</v>
      </c>
    </row>
    <row r="309" spans="1:11" x14ac:dyDescent="0.15">
      <c r="A309" s="1">
        <v>42524</v>
      </c>
      <c r="B309">
        <v>100362</v>
      </c>
      <c r="C309" t="s">
        <v>137</v>
      </c>
      <c r="D309" t="s">
        <v>21</v>
      </c>
      <c r="E309" t="s">
        <v>22</v>
      </c>
      <c r="F309" t="s">
        <v>65</v>
      </c>
      <c r="G309">
        <f t="shared" si="4"/>
        <v>770.40000000000009</v>
      </c>
      <c r="H309">
        <v>10</v>
      </c>
      <c r="I309">
        <v>77.040000000000006</v>
      </c>
      <c r="J309">
        <v>385.2</v>
      </c>
      <c r="K309">
        <v>385.2000000000001</v>
      </c>
    </row>
    <row r="310" spans="1:11" x14ac:dyDescent="0.15">
      <c r="A310" s="1">
        <v>42638</v>
      </c>
      <c r="B310">
        <v>100121</v>
      </c>
      <c r="C310" t="s">
        <v>71</v>
      </c>
      <c r="D310" t="s">
        <v>21</v>
      </c>
      <c r="E310" t="s">
        <v>36</v>
      </c>
      <c r="F310" t="s">
        <v>56</v>
      </c>
      <c r="G310">
        <f t="shared" si="4"/>
        <v>304</v>
      </c>
      <c r="H310">
        <v>8</v>
      </c>
      <c r="I310">
        <v>38</v>
      </c>
      <c r="J310">
        <v>152</v>
      </c>
      <c r="K310">
        <v>152</v>
      </c>
    </row>
    <row r="311" spans="1:11" x14ac:dyDescent="0.15">
      <c r="A311" s="1">
        <v>42528</v>
      </c>
      <c r="B311">
        <v>100280</v>
      </c>
      <c r="C311" t="s">
        <v>57</v>
      </c>
      <c r="D311" t="s">
        <v>21</v>
      </c>
      <c r="E311" t="s">
        <v>36</v>
      </c>
      <c r="F311" t="s">
        <v>56</v>
      </c>
      <c r="G311">
        <f t="shared" si="4"/>
        <v>86.8</v>
      </c>
      <c r="H311">
        <v>7</v>
      </c>
      <c r="I311">
        <v>12.4</v>
      </c>
      <c r="J311">
        <v>43.4</v>
      </c>
      <c r="K311">
        <v>43.4</v>
      </c>
    </row>
    <row r="312" spans="1:11" x14ac:dyDescent="0.15">
      <c r="A312" s="1">
        <v>42721</v>
      </c>
      <c r="B312">
        <v>100300</v>
      </c>
      <c r="C312" t="s">
        <v>125</v>
      </c>
      <c r="D312" t="s">
        <v>21</v>
      </c>
      <c r="E312" t="s">
        <v>36</v>
      </c>
      <c r="F312" t="s">
        <v>56</v>
      </c>
      <c r="G312">
        <f t="shared" si="4"/>
        <v>364.56</v>
      </c>
      <c r="H312">
        <v>4</v>
      </c>
      <c r="I312">
        <v>91.14</v>
      </c>
      <c r="J312">
        <v>182.28</v>
      </c>
      <c r="K312">
        <v>182.28</v>
      </c>
    </row>
    <row r="313" spans="1:11" x14ac:dyDescent="0.15">
      <c r="A313" s="1">
        <v>42418</v>
      </c>
      <c r="B313">
        <v>100459</v>
      </c>
      <c r="C313" t="s">
        <v>159</v>
      </c>
      <c r="D313" t="s">
        <v>21</v>
      </c>
      <c r="E313" t="s">
        <v>22</v>
      </c>
      <c r="F313" t="s">
        <v>56</v>
      </c>
      <c r="G313">
        <f t="shared" si="4"/>
        <v>510.16</v>
      </c>
      <c r="H313">
        <v>8</v>
      </c>
      <c r="I313">
        <v>63.77</v>
      </c>
      <c r="J313">
        <v>255.08</v>
      </c>
      <c r="K313">
        <v>255.08</v>
      </c>
    </row>
    <row r="314" spans="1:11" x14ac:dyDescent="0.15">
      <c r="A314" s="1">
        <v>42778</v>
      </c>
      <c r="B314">
        <v>102799</v>
      </c>
      <c r="C314" t="s">
        <v>238</v>
      </c>
      <c r="D314" t="s">
        <v>21</v>
      </c>
      <c r="E314" t="s">
        <v>25</v>
      </c>
      <c r="F314" t="s">
        <v>56</v>
      </c>
      <c r="G314">
        <f t="shared" si="4"/>
        <v>228.26999999999998</v>
      </c>
      <c r="H314">
        <v>7</v>
      </c>
      <c r="I314">
        <v>32.61</v>
      </c>
      <c r="J314">
        <v>114.13500000000001</v>
      </c>
      <c r="K314">
        <v>114.13499999999998</v>
      </c>
    </row>
    <row r="315" spans="1:11" x14ac:dyDescent="0.15">
      <c r="A315" s="1">
        <v>42965</v>
      </c>
      <c r="B315">
        <v>103587</v>
      </c>
      <c r="C315" t="s">
        <v>211</v>
      </c>
      <c r="D315" t="s">
        <v>21</v>
      </c>
      <c r="E315" t="s">
        <v>25</v>
      </c>
      <c r="F315" t="s">
        <v>56</v>
      </c>
      <c r="G315">
        <f t="shared" si="4"/>
        <v>429.3</v>
      </c>
      <c r="H315">
        <v>9</v>
      </c>
      <c r="I315">
        <v>47.7</v>
      </c>
      <c r="J315">
        <v>214.65</v>
      </c>
      <c r="K315">
        <v>214.65</v>
      </c>
    </row>
    <row r="316" spans="1:11" x14ac:dyDescent="0.15">
      <c r="A316" s="1">
        <v>42813</v>
      </c>
      <c r="B316">
        <v>102801</v>
      </c>
      <c r="C316" t="s">
        <v>215</v>
      </c>
      <c r="D316" t="s">
        <v>21</v>
      </c>
      <c r="E316" t="s">
        <v>25</v>
      </c>
      <c r="F316" t="s">
        <v>50</v>
      </c>
      <c r="G316">
        <f t="shared" si="4"/>
        <v>176.14</v>
      </c>
      <c r="H316">
        <v>2</v>
      </c>
      <c r="I316">
        <v>88.07</v>
      </c>
      <c r="J316">
        <v>88.07</v>
      </c>
      <c r="K316">
        <v>88.07</v>
      </c>
    </row>
    <row r="317" spans="1:11" x14ac:dyDescent="0.15">
      <c r="A317" s="1">
        <v>42786</v>
      </c>
      <c r="B317">
        <v>102926</v>
      </c>
      <c r="C317" t="s">
        <v>242</v>
      </c>
      <c r="D317" t="s">
        <v>21</v>
      </c>
      <c r="E317" t="s">
        <v>22</v>
      </c>
      <c r="F317" t="s">
        <v>50</v>
      </c>
      <c r="G317">
        <f t="shared" si="4"/>
        <v>686.21</v>
      </c>
      <c r="H317">
        <v>7</v>
      </c>
      <c r="I317">
        <v>98.03</v>
      </c>
      <c r="J317">
        <v>343.10500000000002</v>
      </c>
      <c r="K317">
        <v>343.10500000000002</v>
      </c>
    </row>
    <row r="318" spans="1:11" x14ac:dyDescent="0.15">
      <c r="A318" s="1">
        <v>42738</v>
      </c>
      <c r="B318">
        <v>103192</v>
      </c>
      <c r="C318" t="s">
        <v>118</v>
      </c>
      <c r="D318" t="s">
        <v>21</v>
      </c>
      <c r="E318" t="s">
        <v>25</v>
      </c>
      <c r="F318" t="s">
        <v>50</v>
      </c>
      <c r="G318">
        <f t="shared" si="4"/>
        <v>666.61</v>
      </c>
      <c r="H318">
        <v>7</v>
      </c>
      <c r="I318">
        <v>95.23</v>
      </c>
      <c r="J318">
        <v>333.30500000000001</v>
      </c>
      <c r="K318">
        <v>333.30500000000001</v>
      </c>
    </row>
    <row r="319" spans="1:11" x14ac:dyDescent="0.15">
      <c r="A319" s="1">
        <v>42751</v>
      </c>
      <c r="B319">
        <v>103675</v>
      </c>
      <c r="C319" t="s">
        <v>216</v>
      </c>
      <c r="D319" t="s">
        <v>21</v>
      </c>
      <c r="E319" t="s">
        <v>22</v>
      </c>
      <c r="F319" t="s">
        <v>50</v>
      </c>
      <c r="G319">
        <f t="shared" si="4"/>
        <v>45.36</v>
      </c>
      <c r="H319">
        <v>4</v>
      </c>
      <c r="I319">
        <v>11.34</v>
      </c>
      <c r="J319">
        <v>22.68</v>
      </c>
      <c r="K319">
        <v>22.68</v>
      </c>
    </row>
    <row r="320" spans="1:11" x14ac:dyDescent="0.15">
      <c r="A320" s="1">
        <v>42950</v>
      </c>
      <c r="B320">
        <v>103680</v>
      </c>
      <c r="C320" t="s">
        <v>246</v>
      </c>
      <c r="D320" t="s">
        <v>21</v>
      </c>
      <c r="E320" t="s">
        <v>25</v>
      </c>
      <c r="F320" t="s">
        <v>50</v>
      </c>
      <c r="G320">
        <f t="shared" si="4"/>
        <v>39.150000000000006</v>
      </c>
      <c r="H320">
        <v>3</v>
      </c>
      <c r="I320">
        <v>13.05</v>
      </c>
      <c r="J320">
        <v>19.574999999999999</v>
      </c>
      <c r="K320">
        <v>19.575000000000006</v>
      </c>
    </row>
    <row r="321" spans="1:11" x14ac:dyDescent="0.15">
      <c r="A321" s="1">
        <v>42865</v>
      </c>
      <c r="B321">
        <v>103727</v>
      </c>
      <c r="C321" t="s">
        <v>215</v>
      </c>
      <c r="D321" t="s">
        <v>21</v>
      </c>
      <c r="E321" t="s">
        <v>25</v>
      </c>
      <c r="F321" t="s">
        <v>50</v>
      </c>
      <c r="G321">
        <f t="shared" si="4"/>
        <v>227.52</v>
      </c>
      <c r="H321">
        <v>9</v>
      </c>
      <c r="I321">
        <v>25.28</v>
      </c>
      <c r="J321">
        <v>113.76</v>
      </c>
      <c r="K321">
        <v>113.76</v>
      </c>
    </row>
    <row r="322" spans="1:11" x14ac:dyDescent="0.15">
      <c r="A322" s="1">
        <v>42713</v>
      </c>
      <c r="B322">
        <v>100090</v>
      </c>
      <c r="C322" t="s">
        <v>58</v>
      </c>
      <c r="D322" t="s">
        <v>21</v>
      </c>
      <c r="E322" t="s">
        <v>25</v>
      </c>
      <c r="F322" t="s">
        <v>11</v>
      </c>
      <c r="G322">
        <f t="shared" si="4"/>
        <v>254.52</v>
      </c>
      <c r="H322">
        <v>4</v>
      </c>
      <c r="I322">
        <v>63.63</v>
      </c>
      <c r="J322">
        <v>127.26</v>
      </c>
      <c r="K322">
        <v>127.26</v>
      </c>
    </row>
    <row r="323" spans="1:11" x14ac:dyDescent="0.15">
      <c r="A323" s="1">
        <v>42606</v>
      </c>
      <c r="B323">
        <v>100119</v>
      </c>
      <c r="C323" t="s">
        <v>70</v>
      </c>
      <c r="D323" t="s">
        <v>21</v>
      </c>
      <c r="E323" t="s">
        <v>25</v>
      </c>
      <c r="F323" t="s">
        <v>11</v>
      </c>
      <c r="G323">
        <f t="shared" ref="G323:G358" si="5">H323*I323</f>
        <v>862.65</v>
      </c>
      <c r="H323">
        <v>9</v>
      </c>
      <c r="I323">
        <v>95.85</v>
      </c>
      <c r="J323">
        <v>431.32499999999999</v>
      </c>
      <c r="K323">
        <v>431.32499999999999</v>
      </c>
    </row>
    <row r="324" spans="1:11" x14ac:dyDescent="0.15">
      <c r="A324" s="1">
        <v>42731</v>
      </c>
      <c r="B324">
        <v>100195</v>
      </c>
      <c r="C324" t="s">
        <v>18</v>
      </c>
      <c r="D324" t="s">
        <v>21</v>
      </c>
      <c r="E324" t="s">
        <v>25</v>
      </c>
      <c r="F324" t="s">
        <v>11</v>
      </c>
      <c r="G324">
        <f t="shared" si="5"/>
        <v>712.08</v>
      </c>
      <c r="H324">
        <v>9</v>
      </c>
      <c r="I324">
        <v>79.12</v>
      </c>
      <c r="J324">
        <v>356.04</v>
      </c>
      <c r="K324">
        <v>356.04</v>
      </c>
    </row>
    <row r="325" spans="1:11" x14ac:dyDescent="0.15">
      <c r="A325" s="1">
        <v>42733</v>
      </c>
      <c r="B325">
        <v>100211</v>
      </c>
      <c r="C325" t="s">
        <v>104</v>
      </c>
      <c r="D325" t="s">
        <v>21</v>
      </c>
      <c r="E325" t="s">
        <v>25</v>
      </c>
      <c r="F325" t="s">
        <v>11</v>
      </c>
      <c r="G325">
        <f t="shared" si="5"/>
        <v>105.06</v>
      </c>
      <c r="H325">
        <v>3</v>
      </c>
      <c r="I325">
        <v>35.020000000000003</v>
      </c>
      <c r="J325">
        <v>52.53</v>
      </c>
      <c r="K325">
        <v>52.53</v>
      </c>
    </row>
    <row r="326" spans="1:11" x14ac:dyDescent="0.15">
      <c r="A326" s="1">
        <v>42729</v>
      </c>
      <c r="B326">
        <v>100292</v>
      </c>
      <c r="C326" t="s">
        <v>122</v>
      </c>
      <c r="D326" t="s">
        <v>21</v>
      </c>
      <c r="E326" t="s">
        <v>36</v>
      </c>
      <c r="F326" t="s">
        <v>11</v>
      </c>
      <c r="G326">
        <f t="shared" si="5"/>
        <v>30.94</v>
      </c>
      <c r="H326">
        <v>2</v>
      </c>
      <c r="I326">
        <v>15.47</v>
      </c>
      <c r="J326">
        <v>15.47</v>
      </c>
      <c r="K326">
        <v>15.47</v>
      </c>
    </row>
    <row r="327" spans="1:11" x14ac:dyDescent="0.15">
      <c r="A327" s="1">
        <v>42671</v>
      </c>
      <c r="B327">
        <v>100331</v>
      </c>
      <c r="C327" t="s">
        <v>18</v>
      </c>
      <c r="D327" t="s">
        <v>21</v>
      </c>
      <c r="E327" t="s">
        <v>22</v>
      </c>
      <c r="F327" t="s">
        <v>11</v>
      </c>
      <c r="G327">
        <f t="shared" si="5"/>
        <v>944.9</v>
      </c>
      <c r="H327">
        <v>10</v>
      </c>
      <c r="I327">
        <v>94.49</v>
      </c>
      <c r="J327">
        <v>472.45</v>
      </c>
      <c r="K327">
        <v>472.45</v>
      </c>
    </row>
    <row r="328" spans="1:11" x14ac:dyDescent="0.15">
      <c r="A328" s="1">
        <v>42523</v>
      </c>
      <c r="B328">
        <v>100395</v>
      </c>
      <c r="C328" t="s">
        <v>18</v>
      </c>
      <c r="D328" t="s">
        <v>21</v>
      </c>
      <c r="E328" t="s">
        <v>36</v>
      </c>
      <c r="F328" t="s">
        <v>11</v>
      </c>
      <c r="G328">
        <f t="shared" si="5"/>
        <v>784.26</v>
      </c>
      <c r="H328">
        <v>9</v>
      </c>
      <c r="I328">
        <v>87.14</v>
      </c>
      <c r="J328">
        <v>392.13</v>
      </c>
      <c r="K328">
        <v>392.13</v>
      </c>
    </row>
    <row r="329" spans="1:11" x14ac:dyDescent="0.15">
      <c r="A329" s="1">
        <v>42660</v>
      </c>
      <c r="B329">
        <v>100572</v>
      </c>
      <c r="C329" t="s">
        <v>104</v>
      </c>
      <c r="D329" t="s">
        <v>21</v>
      </c>
      <c r="E329" t="s">
        <v>25</v>
      </c>
      <c r="F329" t="s">
        <v>11</v>
      </c>
      <c r="G329">
        <f t="shared" si="5"/>
        <v>438.40000000000003</v>
      </c>
      <c r="H329">
        <v>5</v>
      </c>
      <c r="I329">
        <v>87.68</v>
      </c>
      <c r="J329">
        <v>219.2</v>
      </c>
      <c r="K329">
        <v>219.20000000000005</v>
      </c>
    </row>
    <row r="330" spans="1:11" x14ac:dyDescent="0.15">
      <c r="A330" s="1">
        <v>42987</v>
      </c>
      <c r="B330">
        <v>102837</v>
      </c>
      <c r="C330" t="s">
        <v>188</v>
      </c>
      <c r="D330" t="s">
        <v>21</v>
      </c>
      <c r="E330" t="s">
        <v>36</v>
      </c>
      <c r="F330" t="s">
        <v>11</v>
      </c>
      <c r="G330">
        <f t="shared" si="5"/>
        <v>96.6</v>
      </c>
      <c r="H330">
        <v>2</v>
      </c>
      <c r="I330">
        <v>48.3</v>
      </c>
      <c r="J330">
        <v>48.3</v>
      </c>
      <c r="K330">
        <v>48.3</v>
      </c>
    </row>
    <row r="331" spans="1:11" x14ac:dyDescent="0.15">
      <c r="A331" s="1">
        <v>42856</v>
      </c>
      <c r="B331">
        <v>103241</v>
      </c>
      <c r="C331" t="s">
        <v>99</v>
      </c>
      <c r="D331" t="s">
        <v>21</v>
      </c>
      <c r="E331" t="s">
        <v>25</v>
      </c>
      <c r="F331" t="s">
        <v>11</v>
      </c>
      <c r="G331">
        <f t="shared" si="5"/>
        <v>476</v>
      </c>
      <c r="H331">
        <v>7</v>
      </c>
      <c r="I331">
        <v>68</v>
      </c>
      <c r="J331">
        <v>238</v>
      </c>
      <c r="K331">
        <v>238</v>
      </c>
    </row>
    <row r="332" spans="1:11" x14ac:dyDescent="0.15">
      <c r="A332" s="1">
        <v>43015</v>
      </c>
      <c r="B332">
        <v>103257</v>
      </c>
      <c r="C332" t="s">
        <v>18</v>
      </c>
      <c r="D332" t="s">
        <v>21</v>
      </c>
      <c r="E332" t="s">
        <v>36</v>
      </c>
      <c r="F332" t="s">
        <v>11</v>
      </c>
      <c r="G332">
        <f t="shared" si="5"/>
        <v>198.12</v>
      </c>
      <c r="H332">
        <v>3</v>
      </c>
      <c r="I332">
        <v>66.040000000000006</v>
      </c>
      <c r="J332">
        <v>99.06</v>
      </c>
      <c r="K332">
        <v>99.06</v>
      </c>
    </row>
    <row r="333" spans="1:11" x14ac:dyDescent="0.15">
      <c r="A333" s="1">
        <v>43003</v>
      </c>
      <c r="B333">
        <v>103276</v>
      </c>
      <c r="C333" t="s">
        <v>18</v>
      </c>
      <c r="D333" t="s">
        <v>21</v>
      </c>
      <c r="E333" t="s">
        <v>25</v>
      </c>
      <c r="F333" t="s">
        <v>11</v>
      </c>
      <c r="G333">
        <f t="shared" si="5"/>
        <v>451.44</v>
      </c>
      <c r="H333">
        <v>8</v>
      </c>
      <c r="I333">
        <v>56.43</v>
      </c>
      <c r="J333">
        <v>225.72</v>
      </c>
      <c r="K333">
        <v>225.72</v>
      </c>
    </row>
    <row r="334" spans="1:11" x14ac:dyDescent="0.15">
      <c r="A334" s="1">
        <v>42880</v>
      </c>
      <c r="B334">
        <v>103476</v>
      </c>
      <c r="C334" t="s">
        <v>18</v>
      </c>
      <c r="D334" t="s">
        <v>21</v>
      </c>
      <c r="E334" t="s">
        <v>36</v>
      </c>
      <c r="F334" t="s">
        <v>11</v>
      </c>
      <c r="G334">
        <f t="shared" si="5"/>
        <v>365.79999999999995</v>
      </c>
      <c r="H334">
        <v>10</v>
      </c>
      <c r="I334">
        <v>36.58</v>
      </c>
      <c r="J334">
        <v>182.9</v>
      </c>
      <c r="K334">
        <v>182.89999999999995</v>
      </c>
    </row>
    <row r="335" spans="1:11" x14ac:dyDescent="0.15">
      <c r="A335" s="1">
        <v>42787</v>
      </c>
      <c r="B335">
        <v>103482</v>
      </c>
      <c r="C335" t="s">
        <v>148</v>
      </c>
      <c r="D335" t="s">
        <v>21</v>
      </c>
      <c r="E335" t="s">
        <v>25</v>
      </c>
      <c r="F335" t="s">
        <v>11</v>
      </c>
      <c r="G335">
        <f t="shared" si="5"/>
        <v>900.19999999999993</v>
      </c>
      <c r="H335">
        <v>10</v>
      </c>
      <c r="I335">
        <v>90.02</v>
      </c>
      <c r="J335">
        <v>450.1</v>
      </c>
      <c r="K335">
        <v>450.09999999999991</v>
      </c>
    </row>
    <row r="336" spans="1:11" x14ac:dyDescent="0.15">
      <c r="A336" s="1">
        <v>43034</v>
      </c>
      <c r="B336">
        <v>103514</v>
      </c>
      <c r="C336" t="s">
        <v>103</v>
      </c>
      <c r="D336" t="s">
        <v>21</v>
      </c>
      <c r="E336" t="s">
        <v>22</v>
      </c>
      <c r="F336" t="s">
        <v>11</v>
      </c>
      <c r="G336">
        <f t="shared" si="5"/>
        <v>149.12</v>
      </c>
      <c r="H336">
        <v>4</v>
      </c>
      <c r="I336">
        <v>37.28</v>
      </c>
      <c r="J336">
        <v>74.56</v>
      </c>
      <c r="K336">
        <v>74.56</v>
      </c>
    </row>
    <row r="337" spans="1:11" x14ac:dyDescent="0.15">
      <c r="A337" s="1">
        <v>42829</v>
      </c>
      <c r="B337">
        <v>103692</v>
      </c>
      <c r="C337" t="s">
        <v>99</v>
      </c>
      <c r="D337" t="s">
        <v>21</v>
      </c>
      <c r="E337" t="s">
        <v>25</v>
      </c>
      <c r="F337" t="s">
        <v>11</v>
      </c>
      <c r="G337">
        <f t="shared" si="5"/>
        <v>189.64</v>
      </c>
      <c r="H337">
        <v>4</v>
      </c>
      <c r="I337">
        <v>47.41</v>
      </c>
      <c r="J337">
        <v>94.82</v>
      </c>
      <c r="K337">
        <v>94.82</v>
      </c>
    </row>
    <row r="338" spans="1:11" x14ac:dyDescent="0.15">
      <c r="A338" s="1">
        <v>42865</v>
      </c>
      <c r="B338">
        <v>103727</v>
      </c>
      <c r="C338" t="s">
        <v>148</v>
      </c>
      <c r="D338" t="s">
        <v>21</v>
      </c>
      <c r="E338" t="s">
        <v>25</v>
      </c>
      <c r="F338" t="s">
        <v>11</v>
      </c>
      <c r="G338">
        <f t="shared" si="5"/>
        <v>456.36</v>
      </c>
      <c r="H338">
        <v>6</v>
      </c>
      <c r="I338">
        <v>76.06</v>
      </c>
      <c r="J338">
        <v>228.18</v>
      </c>
      <c r="K338">
        <v>228.18</v>
      </c>
    </row>
    <row r="339" spans="1:11" x14ac:dyDescent="0.15">
      <c r="A339" s="1">
        <v>43022</v>
      </c>
      <c r="B339">
        <v>102683</v>
      </c>
      <c r="C339" t="s">
        <v>197</v>
      </c>
      <c r="D339" t="s">
        <v>21</v>
      </c>
      <c r="E339" t="s">
        <v>25</v>
      </c>
      <c r="F339" t="s">
        <v>33</v>
      </c>
      <c r="G339">
        <f t="shared" si="5"/>
        <v>98.41</v>
      </c>
      <c r="H339">
        <v>1</v>
      </c>
      <c r="I339">
        <v>98.41</v>
      </c>
      <c r="J339">
        <v>49.204999999999998</v>
      </c>
      <c r="K339">
        <v>49.204999999999998</v>
      </c>
    </row>
    <row r="340" spans="1:11" x14ac:dyDescent="0.15">
      <c r="A340" s="1">
        <v>43050</v>
      </c>
      <c r="B340">
        <v>103162</v>
      </c>
      <c r="C340" t="s">
        <v>195</v>
      </c>
      <c r="D340" t="s">
        <v>21</v>
      </c>
      <c r="E340" t="s">
        <v>22</v>
      </c>
      <c r="F340" t="s">
        <v>33</v>
      </c>
      <c r="G340">
        <f t="shared" si="5"/>
        <v>82.86</v>
      </c>
      <c r="H340">
        <v>1</v>
      </c>
      <c r="I340">
        <v>82.86</v>
      </c>
      <c r="J340">
        <v>41.43</v>
      </c>
      <c r="K340">
        <v>41.43</v>
      </c>
    </row>
    <row r="341" spans="1:11" x14ac:dyDescent="0.15">
      <c r="A341" s="1">
        <v>42997</v>
      </c>
      <c r="B341">
        <v>103392</v>
      </c>
      <c r="C341" t="s">
        <v>109</v>
      </c>
      <c r="D341" t="s">
        <v>21</v>
      </c>
      <c r="E341" t="s">
        <v>22</v>
      </c>
      <c r="F341" t="s">
        <v>33</v>
      </c>
      <c r="G341">
        <f t="shared" si="5"/>
        <v>100.64</v>
      </c>
      <c r="H341">
        <v>8</v>
      </c>
      <c r="I341">
        <v>12.58</v>
      </c>
      <c r="J341">
        <v>50.32</v>
      </c>
      <c r="K341">
        <v>50.32</v>
      </c>
    </row>
    <row r="342" spans="1:11" x14ac:dyDescent="0.15">
      <c r="A342" s="1">
        <v>42903</v>
      </c>
      <c r="B342">
        <v>103734</v>
      </c>
      <c r="C342" t="s">
        <v>109</v>
      </c>
      <c r="D342" t="s">
        <v>21</v>
      </c>
      <c r="E342" t="s">
        <v>22</v>
      </c>
      <c r="F342" t="s">
        <v>33</v>
      </c>
      <c r="G342">
        <f t="shared" si="5"/>
        <v>175.76</v>
      </c>
      <c r="H342">
        <v>8</v>
      </c>
      <c r="I342">
        <v>21.97</v>
      </c>
      <c r="J342">
        <v>87.88</v>
      </c>
      <c r="K342">
        <v>87.88</v>
      </c>
    </row>
    <row r="343" spans="1:11" x14ac:dyDescent="0.15">
      <c r="A343" s="1">
        <v>42426</v>
      </c>
      <c r="B343">
        <v>100143</v>
      </c>
      <c r="C343" t="s">
        <v>81</v>
      </c>
      <c r="D343" t="s">
        <v>21</v>
      </c>
      <c r="E343" t="s">
        <v>22</v>
      </c>
      <c r="F343" t="s">
        <v>62</v>
      </c>
      <c r="G343">
        <f t="shared" si="5"/>
        <v>121.16</v>
      </c>
      <c r="H343">
        <v>2</v>
      </c>
      <c r="I343">
        <v>60.58</v>
      </c>
      <c r="J343">
        <v>60.58</v>
      </c>
      <c r="K343">
        <v>60.58</v>
      </c>
    </row>
    <row r="344" spans="1:11" x14ac:dyDescent="0.15">
      <c r="A344" s="1">
        <v>42465</v>
      </c>
      <c r="B344">
        <v>100192</v>
      </c>
      <c r="C344" t="s">
        <v>96</v>
      </c>
      <c r="D344" t="s">
        <v>21</v>
      </c>
      <c r="E344" t="s">
        <v>36</v>
      </c>
      <c r="F344" t="s">
        <v>62</v>
      </c>
      <c r="G344">
        <f t="shared" si="5"/>
        <v>19.690000000000001</v>
      </c>
      <c r="H344">
        <v>1</v>
      </c>
      <c r="I344">
        <v>19.690000000000001</v>
      </c>
      <c r="J344">
        <v>9.8450000000000006</v>
      </c>
      <c r="K344">
        <v>9.8450000000000006</v>
      </c>
    </row>
    <row r="345" spans="1:11" x14ac:dyDescent="0.15">
      <c r="A345" s="1">
        <v>42556</v>
      </c>
      <c r="B345">
        <v>100214</v>
      </c>
      <c r="C345" t="s">
        <v>105</v>
      </c>
      <c r="D345" t="s">
        <v>21</v>
      </c>
      <c r="E345" t="s">
        <v>36</v>
      </c>
      <c r="F345" t="s">
        <v>62</v>
      </c>
      <c r="G345">
        <f t="shared" si="5"/>
        <v>321.78999999999996</v>
      </c>
      <c r="H345">
        <v>7</v>
      </c>
      <c r="I345">
        <v>45.97</v>
      </c>
      <c r="J345">
        <v>160.89500000000001</v>
      </c>
      <c r="K345">
        <v>160.89499999999995</v>
      </c>
    </row>
    <row r="346" spans="1:11" x14ac:dyDescent="0.15">
      <c r="A346" s="1">
        <v>42982</v>
      </c>
      <c r="B346">
        <v>102963</v>
      </c>
      <c r="C346" t="s">
        <v>209</v>
      </c>
      <c r="D346" t="s">
        <v>21</v>
      </c>
      <c r="E346" t="s">
        <v>36</v>
      </c>
      <c r="F346" t="s">
        <v>62</v>
      </c>
      <c r="G346">
        <f t="shared" si="5"/>
        <v>60.74</v>
      </c>
      <c r="H346">
        <v>2</v>
      </c>
      <c r="I346">
        <v>30.37</v>
      </c>
      <c r="J346">
        <v>30.37</v>
      </c>
      <c r="K346">
        <v>30.37</v>
      </c>
    </row>
    <row r="347" spans="1:11" x14ac:dyDescent="0.15">
      <c r="A347" s="1">
        <v>43041</v>
      </c>
      <c r="B347">
        <v>103253</v>
      </c>
      <c r="C347" t="s">
        <v>156</v>
      </c>
      <c r="D347" t="s">
        <v>21</v>
      </c>
      <c r="E347" t="s">
        <v>36</v>
      </c>
      <c r="F347" t="s">
        <v>62</v>
      </c>
      <c r="G347">
        <f t="shared" si="5"/>
        <v>613.53</v>
      </c>
      <c r="H347">
        <v>9</v>
      </c>
      <c r="I347">
        <v>68.17</v>
      </c>
      <c r="J347">
        <v>306.76499999999999</v>
      </c>
      <c r="K347">
        <v>306.76499999999999</v>
      </c>
    </row>
    <row r="348" spans="1:11" x14ac:dyDescent="0.15">
      <c r="A348" s="1">
        <v>42789</v>
      </c>
      <c r="B348">
        <v>103304</v>
      </c>
      <c r="C348" t="s">
        <v>63</v>
      </c>
      <c r="D348" t="s">
        <v>21</v>
      </c>
      <c r="E348" t="s">
        <v>22</v>
      </c>
      <c r="F348" t="s">
        <v>62</v>
      </c>
      <c r="G348">
        <f t="shared" si="5"/>
        <v>358.9</v>
      </c>
      <c r="H348">
        <v>10</v>
      </c>
      <c r="I348">
        <v>35.89</v>
      </c>
      <c r="J348">
        <v>179.45</v>
      </c>
      <c r="K348">
        <v>179.45</v>
      </c>
    </row>
    <row r="349" spans="1:11" x14ac:dyDescent="0.15">
      <c r="A349" s="1">
        <v>43034</v>
      </c>
      <c r="B349">
        <v>103514</v>
      </c>
      <c r="C349" t="s">
        <v>156</v>
      </c>
      <c r="D349" t="s">
        <v>21</v>
      </c>
      <c r="E349" t="s">
        <v>22</v>
      </c>
      <c r="F349" t="s">
        <v>62</v>
      </c>
      <c r="G349">
        <f t="shared" si="5"/>
        <v>224.95000000000002</v>
      </c>
      <c r="H349">
        <v>5</v>
      </c>
      <c r="I349">
        <v>44.99</v>
      </c>
      <c r="J349">
        <v>112.47499999999999</v>
      </c>
      <c r="K349">
        <v>112.47500000000002</v>
      </c>
    </row>
    <row r="350" spans="1:11" x14ac:dyDescent="0.15">
      <c r="A350" s="1">
        <v>43059</v>
      </c>
      <c r="B350">
        <v>103647</v>
      </c>
      <c r="C350" t="s">
        <v>209</v>
      </c>
      <c r="D350" t="s">
        <v>21</v>
      </c>
      <c r="E350" t="s">
        <v>25</v>
      </c>
      <c r="F350" t="s">
        <v>62</v>
      </c>
      <c r="G350">
        <f t="shared" si="5"/>
        <v>567.84</v>
      </c>
      <c r="H350">
        <v>8</v>
      </c>
      <c r="I350">
        <v>70.98</v>
      </c>
      <c r="J350">
        <v>283.92</v>
      </c>
      <c r="K350">
        <v>283.92</v>
      </c>
    </row>
    <row r="351" spans="1:11" x14ac:dyDescent="0.15">
      <c r="A351" s="1">
        <v>43063</v>
      </c>
      <c r="B351">
        <v>103766</v>
      </c>
      <c r="C351" t="s">
        <v>234</v>
      </c>
      <c r="D351" t="s">
        <v>21</v>
      </c>
      <c r="E351" t="s">
        <v>22</v>
      </c>
      <c r="F351" t="s">
        <v>62</v>
      </c>
      <c r="G351">
        <f t="shared" si="5"/>
        <v>815.12999999999988</v>
      </c>
      <c r="H351">
        <v>9</v>
      </c>
      <c r="I351">
        <v>90.57</v>
      </c>
      <c r="J351">
        <v>407.565</v>
      </c>
      <c r="K351">
        <v>407.56499999999988</v>
      </c>
    </row>
    <row r="352" spans="1:11" x14ac:dyDescent="0.15">
      <c r="A352" s="1">
        <v>42733</v>
      </c>
      <c r="B352">
        <v>100562</v>
      </c>
      <c r="C352" t="s">
        <v>106</v>
      </c>
      <c r="D352" t="s">
        <v>21</v>
      </c>
      <c r="E352" t="s">
        <v>25</v>
      </c>
      <c r="F352" t="s">
        <v>35</v>
      </c>
      <c r="G352">
        <f t="shared" si="5"/>
        <v>867.06000000000006</v>
      </c>
      <c r="H352">
        <v>9</v>
      </c>
      <c r="I352">
        <v>96.34</v>
      </c>
      <c r="J352">
        <v>433.53</v>
      </c>
      <c r="K352">
        <v>433.53000000000009</v>
      </c>
    </row>
    <row r="353" spans="1:11" x14ac:dyDescent="0.15">
      <c r="A353" s="1">
        <v>42652</v>
      </c>
      <c r="B353">
        <v>100569</v>
      </c>
      <c r="C353" t="s">
        <v>174</v>
      </c>
      <c r="D353" t="s">
        <v>21</v>
      </c>
      <c r="E353" t="s">
        <v>36</v>
      </c>
      <c r="F353" t="s">
        <v>35</v>
      </c>
      <c r="G353">
        <f t="shared" si="5"/>
        <v>300.54000000000002</v>
      </c>
      <c r="H353">
        <v>6</v>
      </c>
      <c r="I353">
        <v>50.09</v>
      </c>
      <c r="J353">
        <v>150.27000000000001</v>
      </c>
      <c r="K353">
        <v>150.27000000000001</v>
      </c>
    </row>
    <row r="354" spans="1:11" x14ac:dyDescent="0.15">
      <c r="A354" s="1">
        <v>42982</v>
      </c>
      <c r="B354">
        <v>102768</v>
      </c>
      <c r="C354" t="s">
        <v>160</v>
      </c>
      <c r="D354" t="s">
        <v>21</v>
      </c>
      <c r="E354" t="s">
        <v>22</v>
      </c>
      <c r="F354" t="s">
        <v>35</v>
      </c>
      <c r="G354">
        <f t="shared" si="5"/>
        <v>205.44</v>
      </c>
      <c r="H354">
        <v>8</v>
      </c>
      <c r="I354">
        <v>25.68</v>
      </c>
      <c r="J354">
        <v>102.72</v>
      </c>
      <c r="K354">
        <v>102.72</v>
      </c>
    </row>
    <row r="355" spans="1:11" x14ac:dyDescent="0.15">
      <c r="A355" s="1">
        <v>42943</v>
      </c>
      <c r="B355">
        <v>102927</v>
      </c>
      <c r="C355" t="s">
        <v>233</v>
      </c>
      <c r="D355" t="s">
        <v>21</v>
      </c>
      <c r="E355" t="s">
        <v>36</v>
      </c>
      <c r="F355" t="s">
        <v>35</v>
      </c>
      <c r="G355">
        <f t="shared" si="5"/>
        <v>134.75</v>
      </c>
      <c r="H355">
        <v>5</v>
      </c>
      <c r="I355">
        <v>26.95</v>
      </c>
      <c r="J355">
        <v>67.375</v>
      </c>
      <c r="K355">
        <v>67.375</v>
      </c>
    </row>
    <row r="356" spans="1:11" x14ac:dyDescent="0.15">
      <c r="A356" s="1">
        <v>42837</v>
      </c>
      <c r="B356">
        <v>103239</v>
      </c>
      <c r="C356" t="s">
        <v>245</v>
      </c>
      <c r="D356" t="s">
        <v>21</v>
      </c>
      <c r="E356" t="s">
        <v>36</v>
      </c>
      <c r="F356" t="s">
        <v>35</v>
      </c>
      <c r="G356">
        <f t="shared" si="5"/>
        <v>143.94999999999999</v>
      </c>
      <c r="H356">
        <v>5</v>
      </c>
      <c r="I356">
        <v>28.79</v>
      </c>
      <c r="J356">
        <v>71.974999999999994</v>
      </c>
      <c r="K356">
        <v>71.974999999999994</v>
      </c>
    </row>
    <row r="357" spans="1:11" x14ac:dyDescent="0.15">
      <c r="A357" s="1">
        <v>42926</v>
      </c>
      <c r="B357">
        <v>103292</v>
      </c>
      <c r="C357" t="s">
        <v>245</v>
      </c>
      <c r="D357" t="s">
        <v>21</v>
      </c>
      <c r="E357" t="s">
        <v>22</v>
      </c>
      <c r="F357" t="s">
        <v>35</v>
      </c>
      <c r="G357">
        <f t="shared" si="5"/>
        <v>451.15000000000003</v>
      </c>
      <c r="H357">
        <v>7</v>
      </c>
      <c r="I357">
        <v>64.45</v>
      </c>
      <c r="J357">
        <v>225.57499999999999</v>
      </c>
      <c r="K357">
        <v>225.57500000000005</v>
      </c>
    </row>
    <row r="358" spans="1:11" x14ac:dyDescent="0.15">
      <c r="A358" s="1">
        <v>42937</v>
      </c>
      <c r="B358">
        <v>103526</v>
      </c>
      <c r="C358" t="s">
        <v>174</v>
      </c>
      <c r="D358" t="s">
        <v>21</v>
      </c>
      <c r="E358" t="s">
        <v>25</v>
      </c>
      <c r="F358" t="s">
        <v>35</v>
      </c>
      <c r="G358">
        <f t="shared" si="5"/>
        <v>325.16000000000003</v>
      </c>
      <c r="H358">
        <v>4</v>
      </c>
      <c r="I358">
        <v>81.290000000000006</v>
      </c>
      <c r="J358">
        <v>162.58000000000001</v>
      </c>
      <c r="K358">
        <v>162.58000000000001</v>
      </c>
    </row>
  </sheetData>
  <sortState ref="A2:K1739">
    <sortCondition ref="D2:D1739"/>
    <sortCondition descending="1" ref="F2:F1739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tabSelected="1" workbookViewId="0">
      <selection activeCell="C3" sqref="C3"/>
    </sheetView>
  </sheetViews>
  <sheetFormatPr defaultRowHeight="13.5" x14ac:dyDescent="0.15"/>
  <cols>
    <col min="2" max="2" width="10.75" bestFit="1" customWidth="1"/>
    <col min="3" max="3" width="14.125" bestFit="1" customWidth="1"/>
  </cols>
  <sheetData>
    <row r="2" spans="2:3" ht="22.5" x14ac:dyDescent="0.15">
      <c r="B2" s="4" t="s">
        <v>252</v>
      </c>
      <c r="C2" s="5" t="s">
        <v>251</v>
      </c>
    </row>
    <row r="3" spans="2:3" ht="22.5" x14ac:dyDescent="0.15">
      <c r="B3" s="6" t="s">
        <v>253</v>
      </c>
      <c r="C3" s="6"/>
    </row>
    <row r="4" spans="2:3" ht="22.5" x14ac:dyDescent="0.15">
      <c r="B4" s="6" t="s">
        <v>254</v>
      </c>
      <c r="C4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D3" sqref="D3:D26"/>
    </sheetView>
  </sheetViews>
  <sheetFormatPr defaultRowHeight="13.5" x14ac:dyDescent="0.15"/>
  <sheetData>
    <row r="2" spans="2:4" ht="14.25" x14ac:dyDescent="0.15">
      <c r="B2" s="3" t="s">
        <v>250</v>
      </c>
      <c r="C2" s="3" t="s">
        <v>255</v>
      </c>
      <c r="D2" s="3" t="s">
        <v>251</v>
      </c>
    </row>
    <row r="3" spans="2:4" ht="14.25" x14ac:dyDescent="0.15">
      <c r="B3" s="2">
        <v>2016</v>
      </c>
      <c r="C3" s="2">
        <v>1</v>
      </c>
      <c r="D3" s="2">
        <v>1481.4699999999998</v>
      </c>
    </row>
    <row r="4" spans="2:4" ht="14.25" x14ac:dyDescent="0.15">
      <c r="B4" s="2">
        <v>2016</v>
      </c>
      <c r="C4" s="2">
        <v>2</v>
      </c>
      <c r="D4" s="2">
        <v>2668.3199999999997</v>
      </c>
    </row>
    <row r="5" spans="2:4" ht="14.25" x14ac:dyDescent="0.15">
      <c r="B5" s="2">
        <v>2016</v>
      </c>
      <c r="C5" s="2">
        <v>3</v>
      </c>
      <c r="D5" s="2">
        <v>2721.43</v>
      </c>
    </row>
    <row r="6" spans="2:4" ht="14.25" x14ac:dyDescent="0.15">
      <c r="B6" s="2">
        <v>2016</v>
      </c>
      <c r="C6" s="2">
        <v>4</v>
      </c>
      <c r="D6" s="2">
        <v>1980.7</v>
      </c>
    </row>
    <row r="7" spans="2:4" ht="14.25" x14ac:dyDescent="0.15">
      <c r="B7" s="2">
        <v>2016</v>
      </c>
      <c r="C7" s="2">
        <v>5</v>
      </c>
      <c r="D7" s="2">
        <v>2446.8199999999997</v>
      </c>
    </row>
    <row r="8" spans="2:4" ht="14.25" x14ac:dyDescent="0.15">
      <c r="B8" s="2">
        <v>2016</v>
      </c>
      <c r="C8" s="2">
        <v>6</v>
      </c>
      <c r="D8" s="2">
        <v>5196.1600000000008</v>
      </c>
    </row>
    <row r="9" spans="2:4" ht="14.25" x14ac:dyDescent="0.15">
      <c r="B9" s="2">
        <v>2016</v>
      </c>
      <c r="C9" s="2">
        <v>7</v>
      </c>
      <c r="D9" s="2">
        <v>2618.4700000000003</v>
      </c>
    </row>
    <row r="10" spans="2:4" ht="14.25" x14ac:dyDescent="0.15">
      <c r="B10" s="2">
        <v>2016</v>
      </c>
      <c r="C10" s="2">
        <v>8</v>
      </c>
      <c r="D10" s="2">
        <v>2158.88</v>
      </c>
    </row>
    <row r="11" spans="2:4" ht="14.25" x14ac:dyDescent="0.15">
      <c r="B11" s="2">
        <v>2016</v>
      </c>
      <c r="C11" s="2">
        <v>9</v>
      </c>
      <c r="D11" s="2">
        <v>1882.87</v>
      </c>
    </row>
    <row r="12" spans="2:4" ht="14.25" x14ac:dyDescent="0.15">
      <c r="B12" s="2">
        <v>2016</v>
      </c>
      <c r="C12" s="2">
        <v>10</v>
      </c>
      <c r="D12" s="2">
        <v>3630.04</v>
      </c>
    </row>
    <row r="13" spans="2:4" ht="14.25" x14ac:dyDescent="0.15">
      <c r="B13" s="2">
        <v>2016</v>
      </c>
      <c r="C13" s="2">
        <v>11</v>
      </c>
      <c r="D13" s="2">
        <v>2143.52</v>
      </c>
    </row>
    <row r="14" spans="2:4" ht="14.25" x14ac:dyDescent="0.15">
      <c r="B14" s="2">
        <v>2016</v>
      </c>
      <c r="C14" s="2">
        <v>12</v>
      </c>
      <c r="D14" s="2">
        <v>4898.7700000000004</v>
      </c>
    </row>
    <row r="15" spans="2:4" ht="14.25" x14ac:dyDescent="0.15">
      <c r="B15" s="2">
        <v>2017</v>
      </c>
      <c r="C15" s="2">
        <v>1</v>
      </c>
      <c r="D15" s="2">
        <v>6391.45</v>
      </c>
    </row>
    <row r="16" spans="2:4" ht="14.25" x14ac:dyDescent="0.15">
      <c r="B16" s="2">
        <v>2017</v>
      </c>
      <c r="C16" s="2">
        <v>2</v>
      </c>
      <c r="D16" s="2">
        <v>6651.4399999999987</v>
      </c>
    </row>
    <row r="17" spans="2:4" ht="14.25" x14ac:dyDescent="0.15">
      <c r="B17" s="2">
        <v>2017</v>
      </c>
      <c r="C17" s="2">
        <v>3</v>
      </c>
      <c r="D17" s="2">
        <v>4593.8900000000012</v>
      </c>
    </row>
    <row r="18" spans="2:4" ht="14.25" x14ac:dyDescent="0.15">
      <c r="B18" s="2">
        <v>2017</v>
      </c>
      <c r="C18" s="2">
        <v>4</v>
      </c>
      <c r="D18" s="2">
        <v>4884.55</v>
      </c>
    </row>
    <row r="19" spans="2:4" ht="14.25" x14ac:dyDescent="0.15">
      <c r="B19" s="2">
        <v>2017</v>
      </c>
      <c r="C19" s="2">
        <v>5</v>
      </c>
      <c r="D19" s="2">
        <v>5511.01</v>
      </c>
    </row>
    <row r="20" spans="2:4" ht="14.25" x14ac:dyDescent="0.15">
      <c r="B20" s="2">
        <v>2017</v>
      </c>
      <c r="C20" s="2">
        <v>6</v>
      </c>
      <c r="D20" s="2">
        <v>2998.0000000000009</v>
      </c>
    </row>
    <row r="21" spans="2:4" ht="14.25" x14ac:dyDescent="0.15">
      <c r="B21" s="2">
        <v>2017</v>
      </c>
      <c r="C21" s="2">
        <v>7</v>
      </c>
      <c r="D21" s="2">
        <v>3334.23</v>
      </c>
    </row>
    <row r="22" spans="2:4" ht="14.25" x14ac:dyDescent="0.15">
      <c r="B22" s="2">
        <v>2017</v>
      </c>
      <c r="C22" s="2">
        <v>8</v>
      </c>
      <c r="D22" s="2">
        <v>5680.9599999999982</v>
      </c>
    </row>
    <row r="23" spans="2:4" ht="14.25" x14ac:dyDescent="0.15">
      <c r="B23" s="2">
        <v>2017</v>
      </c>
      <c r="C23" s="2">
        <v>9</v>
      </c>
      <c r="D23" s="2">
        <v>5696.74</v>
      </c>
    </row>
    <row r="24" spans="2:4" ht="14.25" x14ac:dyDescent="0.15">
      <c r="B24" s="2">
        <v>2017</v>
      </c>
      <c r="C24" s="2">
        <v>10</v>
      </c>
      <c r="D24" s="2">
        <v>6028.9099999999989</v>
      </c>
    </row>
    <row r="25" spans="2:4" ht="14.25" x14ac:dyDescent="0.15">
      <c r="B25" s="2">
        <v>2017</v>
      </c>
      <c r="C25" s="2">
        <v>11</v>
      </c>
      <c r="D25" s="2">
        <v>6165.33</v>
      </c>
    </row>
    <row r="26" spans="2:4" ht="14.25" x14ac:dyDescent="0.15">
      <c r="B26" s="2">
        <v>2017</v>
      </c>
      <c r="C26" s="2">
        <v>12</v>
      </c>
      <c r="D26" s="2">
        <v>3852.8499999999995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/>
  </sheetViews>
  <sheetFormatPr defaultRowHeight="13.5" x14ac:dyDescent="0.15"/>
  <cols>
    <col min="9" max="9" width="10.25" bestFit="1" customWidth="1"/>
  </cols>
  <sheetData>
    <row r="1" spans="1:10" x14ac:dyDescent="0.15">
      <c r="A1" s="7" t="s">
        <v>256</v>
      </c>
      <c r="B1" s="7" t="s">
        <v>257</v>
      </c>
      <c r="C1" s="7" t="s">
        <v>258</v>
      </c>
      <c r="D1" s="8" t="s">
        <v>259</v>
      </c>
      <c r="E1" s="7" t="s">
        <v>260</v>
      </c>
      <c r="F1" s="8" t="s">
        <v>261</v>
      </c>
      <c r="G1" s="8" t="s">
        <v>262</v>
      </c>
      <c r="H1" s="7" t="s">
        <v>263</v>
      </c>
      <c r="I1" s="8" t="s">
        <v>264</v>
      </c>
      <c r="J1" s="7" t="s">
        <v>265</v>
      </c>
    </row>
    <row r="2" spans="1:10" x14ac:dyDescent="0.15">
      <c r="A2" s="9">
        <v>38838</v>
      </c>
      <c r="B2" s="10" t="s">
        <v>266</v>
      </c>
      <c r="C2" s="10" t="s">
        <v>267</v>
      </c>
      <c r="D2" s="11">
        <v>2088</v>
      </c>
      <c r="E2" s="10" t="s">
        <v>268</v>
      </c>
      <c r="F2" s="11">
        <v>1888</v>
      </c>
      <c r="G2" s="12">
        <f t="shared" ref="G2:G58" si="0">(D2-F2)/D2</f>
        <v>9.5785440613026823E-2</v>
      </c>
      <c r="H2" s="10">
        <v>3</v>
      </c>
      <c r="I2" s="11">
        <f t="shared" ref="I2:I58" si="1">F2*H2</f>
        <v>5664</v>
      </c>
      <c r="J2" s="10" t="s">
        <v>269</v>
      </c>
    </row>
    <row r="3" spans="1:10" x14ac:dyDescent="0.15">
      <c r="A3" s="9">
        <v>38839</v>
      </c>
      <c r="B3" s="10" t="s">
        <v>270</v>
      </c>
      <c r="C3" s="10" t="s">
        <v>271</v>
      </c>
      <c r="D3" s="11">
        <v>4688</v>
      </c>
      <c r="E3" s="10" t="s">
        <v>272</v>
      </c>
      <c r="F3" s="11">
        <v>4088</v>
      </c>
      <c r="G3" s="12">
        <f t="shared" si="0"/>
        <v>0.12798634812286688</v>
      </c>
      <c r="H3" s="10">
        <v>12</v>
      </c>
      <c r="I3" s="11">
        <f t="shared" si="1"/>
        <v>49056</v>
      </c>
      <c r="J3" s="10" t="s">
        <v>269</v>
      </c>
    </row>
    <row r="4" spans="1:10" x14ac:dyDescent="0.15">
      <c r="A4" s="9">
        <v>38839</v>
      </c>
      <c r="B4" s="10" t="s">
        <v>273</v>
      </c>
      <c r="C4" s="10" t="s">
        <v>274</v>
      </c>
      <c r="D4" s="11">
        <v>3188</v>
      </c>
      <c r="E4" s="10" t="s">
        <v>272</v>
      </c>
      <c r="F4" s="11">
        <v>2888</v>
      </c>
      <c r="G4" s="12">
        <f t="shared" si="0"/>
        <v>9.4102885821831864E-2</v>
      </c>
      <c r="H4" s="10">
        <v>6</v>
      </c>
      <c r="I4" s="11">
        <f t="shared" si="1"/>
        <v>17328</v>
      </c>
      <c r="J4" s="10" t="s">
        <v>269</v>
      </c>
    </row>
    <row r="5" spans="1:10" x14ac:dyDescent="0.15">
      <c r="A5" s="9">
        <v>38840</v>
      </c>
      <c r="B5" s="10" t="s">
        <v>275</v>
      </c>
      <c r="C5" s="10" t="s">
        <v>276</v>
      </c>
      <c r="D5" s="11">
        <v>2088</v>
      </c>
      <c r="E5" s="10" t="s">
        <v>272</v>
      </c>
      <c r="F5" s="11">
        <v>1888</v>
      </c>
      <c r="G5" s="12">
        <f t="shared" si="0"/>
        <v>9.5785440613026823E-2</v>
      </c>
      <c r="H5" s="10">
        <v>10</v>
      </c>
      <c r="I5" s="11">
        <f t="shared" si="1"/>
        <v>18880</v>
      </c>
      <c r="J5" s="10" t="s">
        <v>269</v>
      </c>
    </row>
    <row r="6" spans="1:10" x14ac:dyDescent="0.15">
      <c r="A6" s="9">
        <v>38841</v>
      </c>
      <c r="B6" s="10" t="s">
        <v>275</v>
      </c>
      <c r="C6" s="10" t="s">
        <v>276</v>
      </c>
      <c r="D6" s="11">
        <v>2088</v>
      </c>
      <c r="E6" s="10" t="s">
        <v>272</v>
      </c>
      <c r="F6" s="11">
        <v>1888</v>
      </c>
      <c r="G6" s="12">
        <f t="shared" si="0"/>
        <v>9.5785440613026823E-2</v>
      </c>
      <c r="H6" s="10">
        <v>6</v>
      </c>
      <c r="I6" s="11">
        <f t="shared" si="1"/>
        <v>11328</v>
      </c>
      <c r="J6" s="10" t="s">
        <v>269</v>
      </c>
    </row>
    <row r="7" spans="1:10" x14ac:dyDescent="0.15">
      <c r="A7" s="9">
        <v>38842</v>
      </c>
      <c r="B7" s="10" t="s">
        <v>275</v>
      </c>
      <c r="C7" s="10" t="s">
        <v>276</v>
      </c>
      <c r="D7" s="11">
        <v>2088</v>
      </c>
      <c r="E7" s="10" t="s">
        <v>272</v>
      </c>
      <c r="F7" s="11">
        <v>1888</v>
      </c>
      <c r="G7" s="12">
        <f t="shared" si="0"/>
        <v>9.5785440613026823E-2</v>
      </c>
      <c r="H7" s="10">
        <v>4</v>
      </c>
      <c r="I7" s="11">
        <f t="shared" si="1"/>
        <v>7552</v>
      </c>
      <c r="J7" s="10" t="s">
        <v>269</v>
      </c>
    </row>
    <row r="8" spans="1:10" x14ac:dyDescent="0.15">
      <c r="A8" s="9">
        <v>38843</v>
      </c>
      <c r="B8" s="10" t="s">
        <v>275</v>
      </c>
      <c r="C8" s="10" t="s">
        <v>276</v>
      </c>
      <c r="D8" s="11">
        <v>2088</v>
      </c>
      <c r="E8" s="10" t="s">
        <v>272</v>
      </c>
      <c r="F8" s="11">
        <v>1888</v>
      </c>
      <c r="G8" s="12">
        <f t="shared" si="0"/>
        <v>9.5785440613026823E-2</v>
      </c>
      <c r="H8" s="10">
        <v>2</v>
      </c>
      <c r="I8" s="11">
        <f t="shared" si="1"/>
        <v>3776</v>
      </c>
      <c r="J8" s="10" t="s">
        <v>269</v>
      </c>
    </row>
    <row r="9" spans="1:10" x14ac:dyDescent="0.15">
      <c r="A9" s="9">
        <v>38844</v>
      </c>
      <c r="B9" s="10" t="s">
        <v>275</v>
      </c>
      <c r="C9" s="10" t="s">
        <v>276</v>
      </c>
      <c r="D9" s="11">
        <v>2088</v>
      </c>
      <c r="E9" s="10" t="s">
        <v>272</v>
      </c>
      <c r="F9" s="11">
        <v>1888</v>
      </c>
      <c r="G9" s="12">
        <f t="shared" si="0"/>
        <v>9.5785440613026823E-2</v>
      </c>
      <c r="H9" s="10">
        <v>2</v>
      </c>
      <c r="I9" s="11">
        <f t="shared" si="1"/>
        <v>3776</v>
      </c>
      <c r="J9" s="10" t="s">
        <v>269</v>
      </c>
    </row>
    <row r="10" spans="1:10" x14ac:dyDescent="0.15">
      <c r="A10" s="9">
        <v>38838</v>
      </c>
      <c r="B10" s="10" t="s">
        <v>275</v>
      </c>
      <c r="C10" s="10" t="s">
        <v>277</v>
      </c>
      <c r="D10" s="11">
        <v>1988</v>
      </c>
      <c r="E10" s="10" t="s">
        <v>272</v>
      </c>
      <c r="F10" s="11">
        <v>1788</v>
      </c>
      <c r="G10" s="12">
        <f t="shared" si="0"/>
        <v>0.1006036217303823</v>
      </c>
      <c r="H10" s="10">
        <v>2</v>
      </c>
      <c r="I10" s="11">
        <f t="shared" si="1"/>
        <v>3576</v>
      </c>
      <c r="J10" s="10" t="s">
        <v>278</v>
      </c>
    </row>
    <row r="11" spans="1:10" x14ac:dyDescent="0.15">
      <c r="A11" s="9">
        <v>38839</v>
      </c>
      <c r="B11" s="10" t="s">
        <v>275</v>
      </c>
      <c r="C11" s="10" t="s">
        <v>277</v>
      </c>
      <c r="D11" s="11">
        <v>1988</v>
      </c>
      <c r="E11" s="10" t="s">
        <v>272</v>
      </c>
      <c r="F11" s="11">
        <v>1788</v>
      </c>
      <c r="G11" s="12">
        <f t="shared" si="0"/>
        <v>0.1006036217303823</v>
      </c>
      <c r="H11" s="10">
        <v>5</v>
      </c>
      <c r="I11" s="11">
        <f t="shared" si="1"/>
        <v>8940</v>
      </c>
      <c r="J11" s="10" t="s">
        <v>278</v>
      </c>
    </row>
    <row r="12" spans="1:10" x14ac:dyDescent="0.15">
      <c r="A12" s="9">
        <v>38840</v>
      </c>
      <c r="B12" s="10" t="s">
        <v>275</v>
      </c>
      <c r="C12" s="10" t="s">
        <v>277</v>
      </c>
      <c r="D12" s="11">
        <v>1988</v>
      </c>
      <c r="E12" s="10" t="s">
        <v>272</v>
      </c>
      <c r="F12" s="11">
        <v>1788</v>
      </c>
      <c r="G12" s="12">
        <f t="shared" si="0"/>
        <v>0.1006036217303823</v>
      </c>
      <c r="H12" s="10">
        <v>9</v>
      </c>
      <c r="I12" s="11">
        <f t="shared" si="1"/>
        <v>16092</v>
      </c>
      <c r="J12" s="10" t="s">
        <v>278</v>
      </c>
    </row>
    <row r="13" spans="1:10" x14ac:dyDescent="0.15">
      <c r="A13" s="9">
        <v>38841</v>
      </c>
      <c r="B13" s="10" t="s">
        <v>275</v>
      </c>
      <c r="C13" s="10" t="s">
        <v>277</v>
      </c>
      <c r="D13" s="11">
        <v>1988</v>
      </c>
      <c r="E13" s="10" t="s">
        <v>272</v>
      </c>
      <c r="F13" s="11">
        <v>1788</v>
      </c>
      <c r="G13" s="12">
        <f t="shared" si="0"/>
        <v>0.1006036217303823</v>
      </c>
      <c r="H13" s="10">
        <v>2</v>
      </c>
      <c r="I13" s="11">
        <f t="shared" si="1"/>
        <v>3576</v>
      </c>
      <c r="J13" s="10" t="s">
        <v>278</v>
      </c>
    </row>
    <row r="14" spans="1:10" x14ac:dyDescent="0.15">
      <c r="A14" s="9">
        <v>38842</v>
      </c>
      <c r="B14" s="10" t="s">
        <v>275</v>
      </c>
      <c r="C14" s="10" t="s">
        <v>277</v>
      </c>
      <c r="D14" s="11">
        <v>1988</v>
      </c>
      <c r="E14" s="10" t="s">
        <v>272</v>
      </c>
      <c r="F14" s="11">
        <v>1788</v>
      </c>
      <c r="G14" s="12">
        <f t="shared" si="0"/>
        <v>0.1006036217303823</v>
      </c>
      <c r="H14" s="10">
        <v>1</v>
      </c>
      <c r="I14" s="11">
        <f t="shared" si="1"/>
        <v>1788</v>
      </c>
      <c r="J14" s="10" t="s">
        <v>278</v>
      </c>
    </row>
    <row r="15" spans="1:10" x14ac:dyDescent="0.15">
      <c r="A15" s="9">
        <v>38843</v>
      </c>
      <c r="B15" s="10" t="s">
        <v>275</v>
      </c>
      <c r="C15" s="10" t="s">
        <v>277</v>
      </c>
      <c r="D15" s="11">
        <v>1988</v>
      </c>
      <c r="E15" s="10" t="s">
        <v>272</v>
      </c>
      <c r="F15" s="11">
        <v>1788</v>
      </c>
      <c r="G15" s="12">
        <f t="shared" si="0"/>
        <v>0.1006036217303823</v>
      </c>
      <c r="H15" s="10">
        <v>0</v>
      </c>
      <c r="I15" s="11">
        <f t="shared" si="1"/>
        <v>0</v>
      </c>
      <c r="J15" s="10" t="s">
        <v>278</v>
      </c>
    </row>
    <row r="16" spans="1:10" x14ac:dyDescent="0.15">
      <c r="A16" s="9">
        <v>38844</v>
      </c>
      <c r="B16" s="10" t="s">
        <v>275</v>
      </c>
      <c r="C16" s="10" t="s">
        <v>277</v>
      </c>
      <c r="D16" s="11">
        <v>1988</v>
      </c>
      <c r="E16" s="10" t="s">
        <v>272</v>
      </c>
      <c r="F16" s="11">
        <v>1788</v>
      </c>
      <c r="G16" s="12">
        <f t="shared" si="0"/>
        <v>0.1006036217303823</v>
      </c>
      <c r="H16" s="10">
        <v>1</v>
      </c>
      <c r="I16" s="11">
        <f t="shared" si="1"/>
        <v>1788</v>
      </c>
      <c r="J16" s="10" t="s">
        <v>278</v>
      </c>
    </row>
    <row r="17" spans="1:10" x14ac:dyDescent="0.15">
      <c r="A17" s="9">
        <v>38838</v>
      </c>
      <c r="B17" s="10" t="s">
        <v>270</v>
      </c>
      <c r="C17" s="10" t="s">
        <v>279</v>
      </c>
      <c r="D17" s="11">
        <v>2688</v>
      </c>
      <c r="E17" s="10" t="s">
        <v>272</v>
      </c>
      <c r="F17" s="11">
        <v>2388</v>
      </c>
      <c r="G17" s="12">
        <f t="shared" si="0"/>
        <v>0.11160714285714286</v>
      </c>
      <c r="H17" s="10">
        <v>3</v>
      </c>
      <c r="I17" s="11">
        <f t="shared" si="1"/>
        <v>7164</v>
      </c>
      <c r="J17" s="10" t="s">
        <v>280</v>
      </c>
    </row>
    <row r="18" spans="1:10" x14ac:dyDescent="0.15">
      <c r="A18" s="9">
        <v>38839</v>
      </c>
      <c r="B18" s="10" t="s">
        <v>270</v>
      </c>
      <c r="C18" s="10" t="s">
        <v>279</v>
      </c>
      <c r="D18" s="11">
        <v>2688</v>
      </c>
      <c r="E18" s="10" t="s">
        <v>272</v>
      </c>
      <c r="F18" s="11">
        <v>2388</v>
      </c>
      <c r="G18" s="12">
        <f t="shared" si="0"/>
        <v>0.11160714285714286</v>
      </c>
      <c r="H18" s="10">
        <v>8</v>
      </c>
      <c r="I18" s="11">
        <f t="shared" si="1"/>
        <v>19104</v>
      </c>
      <c r="J18" s="10" t="s">
        <v>280</v>
      </c>
    </row>
    <row r="19" spans="1:10" x14ac:dyDescent="0.15">
      <c r="A19" s="9">
        <v>38839</v>
      </c>
      <c r="B19" s="10" t="s">
        <v>273</v>
      </c>
      <c r="C19" s="10" t="s">
        <v>281</v>
      </c>
      <c r="D19" s="11">
        <v>2988</v>
      </c>
      <c r="E19" s="10" t="s">
        <v>282</v>
      </c>
      <c r="F19" s="11">
        <v>2988</v>
      </c>
      <c r="G19" s="12">
        <f t="shared" si="0"/>
        <v>0</v>
      </c>
      <c r="H19" s="10">
        <v>3</v>
      </c>
      <c r="I19" s="11">
        <f t="shared" si="1"/>
        <v>8964</v>
      </c>
      <c r="J19" s="10" t="s">
        <v>280</v>
      </c>
    </row>
    <row r="20" spans="1:10" x14ac:dyDescent="0.15">
      <c r="A20" s="9">
        <v>38840</v>
      </c>
      <c r="B20" s="10" t="s">
        <v>270</v>
      </c>
      <c r="C20" s="10" t="s">
        <v>279</v>
      </c>
      <c r="D20" s="11">
        <v>2688</v>
      </c>
      <c r="E20" s="10" t="s">
        <v>272</v>
      </c>
      <c r="F20" s="11">
        <v>2388</v>
      </c>
      <c r="G20" s="12">
        <f t="shared" si="0"/>
        <v>0.11160714285714286</v>
      </c>
      <c r="H20" s="10">
        <v>8</v>
      </c>
      <c r="I20" s="11">
        <f t="shared" si="1"/>
        <v>19104</v>
      </c>
      <c r="J20" s="10" t="s">
        <v>280</v>
      </c>
    </row>
    <row r="21" spans="1:10" x14ac:dyDescent="0.15">
      <c r="A21" s="9">
        <v>38841</v>
      </c>
      <c r="B21" s="10" t="s">
        <v>270</v>
      </c>
      <c r="C21" s="10" t="s">
        <v>279</v>
      </c>
      <c r="D21" s="11">
        <v>2688</v>
      </c>
      <c r="E21" s="10" t="s">
        <v>272</v>
      </c>
      <c r="F21" s="11">
        <v>2388</v>
      </c>
      <c r="G21" s="12">
        <f t="shared" si="0"/>
        <v>0.11160714285714286</v>
      </c>
      <c r="H21" s="10">
        <v>9</v>
      </c>
      <c r="I21" s="11">
        <f t="shared" si="1"/>
        <v>21492</v>
      </c>
      <c r="J21" s="10" t="s">
        <v>280</v>
      </c>
    </row>
    <row r="22" spans="1:10" x14ac:dyDescent="0.15">
      <c r="A22" s="9">
        <v>38842</v>
      </c>
      <c r="B22" s="10" t="s">
        <v>270</v>
      </c>
      <c r="C22" s="10" t="s">
        <v>279</v>
      </c>
      <c r="D22" s="11">
        <v>2688</v>
      </c>
      <c r="E22" s="10" t="s">
        <v>272</v>
      </c>
      <c r="F22" s="11">
        <v>2388</v>
      </c>
      <c r="G22" s="12">
        <f t="shared" si="0"/>
        <v>0.11160714285714286</v>
      </c>
      <c r="H22" s="10">
        <v>5</v>
      </c>
      <c r="I22" s="11">
        <f t="shared" si="1"/>
        <v>11940</v>
      </c>
      <c r="J22" s="10" t="s">
        <v>280</v>
      </c>
    </row>
    <row r="23" spans="1:10" x14ac:dyDescent="0.15">
      <c r="A23" s="9">
        <v>38843</v>
      </c>
      <c r="B23" s="10" t="s">
        <v>270</v>
      </c>
      <c r="C23" s="10" t="s">
        <v>279</v>
      </c>
      <c r="D23" s="11">
        <v>2688</v>
      </c>
      <c r="E23" s="10" t="s">
        <v>272</v>
      </c>
      <c r="F23" s="11">
        <v>2388</v>
      </c>
      <c r="G23" s="12">
        <f t="shared" si="0"/>
        <v>0.11160714285714286</v>
      </c>
      <c r="H23" s="10">
        <v>2</v>
      </c>
      <c r="I23" s="11">
        <f t="shared" si="1"/>
        <v>4776</v>
      </c>
      <c r="J23" s="10" t="s">
        <v>280</v>
      </c>
    </row>
    <row r="24" spans="1:10" x14ac:dyDescent="0.15">
      <c r="A24" s="9">
        <v>38844</v>
      </c>
      <c r="B24" s="10" t="s">
        <v>270</v>
      </c>
      <c r="C24" s="10" t="s">
        <v>279</v>
      </c>
      <c r="D24" s="11">
        <v>2688</v>
      </c>
      <c r="E24" s="10" t="s">
        <v>272</v>
      </c>
      <c r="F24" s="11">
        <v>2388</v>
      </c>
      <c r="G24" s="12">
        <f t="shared" si="0"/>
        <v>0.11160714285714286</v>
      </c>
      <c r="H24" s="10">
        <v>1</v>
      </c>
      <c r="I24" s="11">
        <f t="shared" si="1"/>
        <v>2388</v>
      </c>
      <c r="J24" s="10" t="s">
        <v>280</v>
      </c>
    </row>
    <row r="25" spans="1:10" x14ac:dyDescent="0.15">
      <c r="A25" s="9">
        <v>38838</v>
      </c>
      <c r="B25" s="10" t="s">
        <v>270</v>
      </c>
      <c r="C25" s="10" t="s">
        <v>283</v>
      </c>
      <c r="D25" s="11">
        <v>1988</v>
      </c>
      <c r="E25" s="10" t="s">
        <v>282</v>
      </c>
      <c r="F25" s="11">
        <v>1988</v>
      </c>
      <c r="G25" s="12">
        <f t="shared" si="0"/>
        <v>0</v>
      </c>
      <c r="H25" s="10">
        <v>2</v>
      </c>
      <c r="I25" s="11">
        <f t="shared" si="1"/>
        <v>3976</v>
      </c>
      <c r="J25" s="10" t="s">
        <v>284</v>
      </c>
    </row>
    <row r="26" spans="1:10" x14ac:dyDescent="0.15">
      <c r="A26" s="9">
        <v>38839</v>
      </c>
      <c r="B26" s="10" t="s">
        <v>275</v>
      </c>
      <c r="C26" s="10" t="s">
        <v>276</v>
      </c>
      <c r="D26" s="11">
        <v>2088</v>
      </c>
      <c r="E26" s="10" t="s">
        <v>272</v>
      </c>
      <c r="F26" s="11">
        <v>1888</v>
      </c>
      <c r="G26" s="12">
        <f t="shared" si="0"/>
        <v>9.5785440613026823E-2</v>
      </c>
      <c r="H26" s="10">
        <v>3</v>
      </c>
      <c r="I26" s="11">
        <f t="shared" si="1"/>
        <v>5664</v>
      </c>
      <c r="J26" s="10" t="s">
        <v>284</v>
      </c>
    </row>
    <row r="27" spans="1:10" x14ac:dyDescent="0.15">
      <c r="A27" s="9">
        <v>38840</v>
      </c>
      <c r="B27" s="10" t="s">
        <v>270</v>
      </c>
      <c r="C27" s="10" t="s">
        <v>283</v>
      </c>
      <c r="D27" s="11">
        <v>1988</v>
      </c>
      <c r="E27" s="10" t="s">
        <v>282</v>
      </c>
      <c r="F27" s="11">
        <v>1988</v>
      </c>
      <c r="G27" s="12">
        <f t="shared" si="0"/>
        <v>0</v>
      </c>
      <c r="H27" s="10">
        <v>7</v>
      </c>
      <c r="I27" s="11">
        <f t="shared" si="1"/>
        <v>13916</v>
      </c>
      <c r="J27" s="10" t="s">
        <v>284</v>
      </c>
    </row>
    <row r="28" spans="1:10" x14ac:dyDescent="0.15">
      <c r="A28" s="9">
        <v>38841</v>
      </c>
      <c r="B28" s="10" t="s">
        <v>270</v>
      </c>
      <c r="C28" s="10" t="s">
        <v>283</v>
      </c>
      <c r="D28" s="11">
        <v>1988</v>
      </c>
      <c r="E28" s="10" t="s">
        <v>282</v>
      </c>
      <c r="F28" s="11">
        <v>1988</v>
      </c>
      <c r="G28" s="12">
        <f t="shared" si="0"/>
        <v>0</v>
      </c>
      <c r="H28" s="10">
        <v>3</v>
      </c>
      <c r="I28" s="11">
        <f t="shared" si="1"/>
        <v>5964</v>
      </c>
      <c r="J28" s="10" t="s">
        <v>284</v>
      </c>
    </row>
    <row r="29" spans="1:10" x14ac:dyDescent="0.15">
      <c r="A29" s="9">
        <v>38842</v>
      </c>
      <c r="B29" s="10" t="s">
        <v>270</v>
      </c>
      <c r="C29" s="10" t="s">
        <v>283</v>
      </c>
      <c r="D29" s="11">
        <v>1988</v>
      </c>
      <c r="E29" s="10" t="s">
        <v>282</v>
      </c>
      <c r="F29" s="11">
        <v>1988</v>
      </c>
      <c r="G29" s="12">
        <f t="shared" si="0"/>
        <v>0</v>
      </c>
      <c r="H29" s="10">
        <v>1</v>
      </c>
      <c r="I29" s="11">
        <f t="shared" si="1"/>
        <v>1988</v>
      </c>
      <c r="J29" s="10" t="s">
        <v>284</v>
      </c>
    </row>
    <row r="30" spans="1:10" x14ac:dyDescent="0.15">
      <c r="A30" s="9">
        <v>38843</v>
      </c>
      <c r="B30" s="10" t="s">
        <v>270</v>
      </c>
      <c r="C30" s="10" t="s">
        <v>283</v>
      </c>
      <c r="D30" s="11">
        <v>1988</v>
      </c>
      <c r="E30" s="10" t="s">
        <v>282</v>
      </c>
      <c r="F30" s="11">
        <v>1988</v>
      </c>
      <c r="G30" s="12">
        <f t="shared" si="0"/>
        <v>0</v>
      </c>
      <c r="H30" s="10">
        <v>0</v>
      </c>
      <c r="I30" s="11">
        <f t="shared" si="1"/>
        <v>0</v>
      </c>
      <c r="J30" s="10" t="s">
        <v>284</v>
      </c>
    </row>
    <row r="31" spans="1:10" x14ac:dyDescent="0.15">
      <c r="A31" s="9">
        <v>38844</v>
      </c>
      <c r="B31" s="10" t="s">
        <v>270</v>
      </c>
      <c r="C31" s="10" t="s">
        <v>283</v>
      </c>
      <c r="D31" s="11">
        <v>1988</v>
      </c>
      <c r="E31" s="10" t="s">
        <v>282</v>
      </c>
      <c r="F31" s="11">
        <v>1988</v>
      </c>
      <c r="G31" s="12">
        <f t="shared" si="0"/>
        <v>0</v>
      </c>
      <c r="H31" s="10">
        <v>1</v>
      </c>
      <c r="I31" s="11">
        <f t="shared" si="1"/>
        <v>1988</v>
      </c>
      <c r="J31" s="10" t="s">
        <v>284</v>
      </c>
    </row>
    <row r="32" spans="1:10" x14ac:dyDescent="0.15">
      <c r="A32" s="9">
        <v>38838</v>
      </c>
      <c r="B32" s="10" t="s">
        <v>270</v>
      </c>
      <c r="C32" s="10" t="s">
        <v>271</v>
      </c>
      <c r="D32" s="11">
        <v>4688</v>
      </c>
      <c r="E32" s="10" t="s">
        <v>272</v>
      </c>
      <c r="F32" s="11">
        <v>4088</v>
      </c>
      <c r="G32" s="12">
        <f t="shared" si="0"/>
        <v>0.12798634812286688</v>
      </c>
      <c r="H32" s="10">
        <v>1</v>
      </c>
      <c r="I32" s="11">
        <f t="shared" si="1"/>
        <v>4088</v>
      </c>
      <c r="J32" s="10" t="s">
        <v>285</v>
      </c>
    </row>
    <row r="33" spans="1:10" x14ac:dyDescent="0.15">
      <c r="A33" s="9">
        <v>38839</v>
      </c>
      <c r="B33" s="10" t="s">
        <v>270</v>
      </c>
      <c r="C33" s="10" t="s">
        <v>271</v>
      </c>
      <c r="D33" s="11">
        <v>4688</v>
      </c>
      <c r="E33" s="10" t="s">
        <v>272</v>
      </c>
      <c r="F33" s="11">
        <v>4088</v>
      </c>
      <c r="G33" s="12">
        <f t="shared" si="0"/>
        <v>0.12798634812286688</v>
      </c>
      <c r="H33" s="10">
        <v>8</v>
      </c>
      <c r="I33" s="11">
        <f t="shared" si="1"/>
        <v>32704</v>
      </c>
      <c r="J33" s="10" t="s">
        <v>285</v>
      </c>
    </row>
    <row r="34" spans="1:10" x14ac:dyDescent="0.15">
      <c r="A34" s="9">
        <v>38840</v>
      </c>
      <c r="B34" s="10" t="s">
        <v>270</v>
      </c>
      <c r="C34" s="10" t="s">
        <v>271</v>
      </c>
      <c r="D34" s="11">
        <v>4688</v>
      </c>
      <c r="E34" s="10" t="s">
        <v>272</v>
      </c>
      <c r="F34" s="11">
        <v>4088</v>
      </c>
      <c r="G34" s="12">
        <f t="shared" si="0"/>
        <v>0.12798634812286688</v>
      </c>
      <c r="H34" s="10">
        <v>10</v>
      </c>
      <c r="I34" s="11">
        <f t="shared" si="1"/>
        <v>40880</v>
      </c>
      <c r="J34" s="10" t="s">
        <v>285</v>
      </c>
    </row>
    <row r="35" spans="1:10" x14ac:dyDescent="0.15">
      <c r="A35" s="9">
        <v>38841</v>
      </c>
      <c r="B35" s="10" t="s">
        <v>270</v>
      </c>
      <c r="C35" s="10" t="s">
        <v>271</v>
      </c>
      <c r="D35" s="11">
        <v>4688</v>
      </c>
      <c r="E35" s="10" t="s">
        <v>272</v>
      </c>
      <c r="F35" s="11">
        <v>4088</v>
      </c>
      <c r="G35" s="12">
        <f t="shared" si="0"/>
        <v>0.12798634812286688</v>
      </c>
      <c r="H35" s="10">
        <v>12</v>
      </c>
      <c r="I35" s="11">
        <f t="shared" si="1"/>
        <v>49056</v>
      </c>
      <c r="J35" s="10" t="s">
        <v>285</v>
      </c>
    </row>
    <row r="36" spans="1:10" x14ac:dyDescent="0.15">
      <c r="A36" s="9">
        <v>38842</v>
      </c>
      <c r="B36" s="10" t="s">
        <v>270</v>
      </c>
      <c r="C36" s="10" t="s">
        <v>271</v>
      </c>
      <c r="D36" s="11">
        <v>4688</v>
      </c>
      <c r="E36" s="10" t="s">
        <v>272</v>
      </c>
      <c r="F36" s="11">
        <v>4088</v>
      </c>
      <c r="G36" s="12">
        <f t="shared" si="0"/>
        <v>0.12798634812286688</v>
      </c>
      <c r="H36" s="10">
        <v>6</v>
      </c>
      <c r="I36" s="11">
        <f t="shared" si="1"/>
        <v>24528</v>
      </c>
      <c r="J36" s="10" t="s">
        <v>285</v>
      </c>
    </row>
    <row r="37" spans="1:10" x14ac:dyDescent="0.15">
      <c r="A37" s="9">
        <v>38843</v>
      </c>
      <c r="B37" s="10" t="s">
        <v>270</v>
      </c>
      <c r="C37" s="10" t="s">
        <v>271</v>
      </c>
      <c r="D37" s="11">
        <v>4688</v>
      </c>
      <c r="E37" s="10" t="s">
        <v>272</v>
      </c>
      <c r="F37" s="11">
        <v>4088</v>
      </c>
      <c r="G37" s="12">
        <f t="shared" si="0"/>
        <v>0.12798634812286688</v>
      </c>
      <c r="H37" s="10">
        <v>4</v>
      </c>
      <c r="I37" s="11">
        <f t="shared" si="1"/>
        <v>16352</v>
      </c>
      <c r="J37" s="10" t="s">
        <v>285</v>
      </c>
    </row>
    <row r="38" spans="1:10" x14ac:dyDescent="0.15">
      <c r="A38" s="9">
        <v>38844</v>
      </c>
      <c r="B38" s="10" t="s">
        <v>270</v>
      </c>
      <c r="C38" s="10" t="s">
        <v>271</v>
      </c>
      <c r="D38" s="11">
        <v>4688</v>
      </c>
      <c r="E38" s="10" t="s">
        <v>272</v>
      </c>
      <c r="F38" s="11">
        <v>4088</v>
      </c>
      <c r="G38" s="12">
        <f t="shared" si="0"/>
        <v>0.12798634812286688</v>
      </c>
      <c r="H38" s="10">
        <v>3</v>
      </c>
      <c r="I38" s="11">
        <f t="shared" si="1"/>
        <v>12264</v>
      </c>
      <c r="J38" s="10" t="s">
        <v>285</v>
      </c>
    </row>
    <row r="39" spans="1:10" x14ac:dyDescent="0.15">
      <c r="A39" s="9">
        <v>38838</v>
      </c>
      <c r="B39" s="10" t="s">
        <v>273</v>
      </c>
      <c r="C39" s="10" t="s">
        <v>281</v>
      </c>
      <c r="D39" s="11">
        <v>2988</v>
      </c>
      <c r="E39" s="10" t="s">
        <v>282</v>
      </c>
      <c r="F39" s="11">
        <v>2988</v>
      </c>
      <c r="G39" s="12">
        <f t="shared" si="0"/>
        <v>0</v>
      </c>
      <c r="H39" s="10">
        <v>2</v>
      </c>
      <c r="I39" s="11">
        <f t="shared" si="1"/>
        <v>5976</v>
      </c>
      <c r="J39" s="10" t="s">
        <v>286</v>
      </c>
    </row>
    <row r="40" spans="1:10" x14ac:dyDescent="0.15">
      <c r="A40" s="9">
        <v>38839</v>
      </c>
      <c r="B40" s="10" t="s">
        <v>270</v>
      </c>
      <c r="C40" s="10" t="s">
        <v>283</v>
      </c>
      <c r="D40" s="11">
        <v>1988</v>
      </c>
      <c r="E40" s="10" t="s">
        <v>282</v>
      </c>
      <c r="F40" s="11">
        <v>1988</v>
      </c>
      <c r="G40" s="12">
        <f t="shared" si="0"/>
        <v>0</v>
      </c>
      <c r="H40" s="10">
        <v>6</v>
      </c>
      <c r="I40" s="11">
        <f t="shared" si="1"/>
        <v>11928</v>
      </c>
      <c r="J40" s="10" t="s">
        <v>286</v>
      </c>
    </row>
    <row r="41" spans="1:10" x14ac:dyDescent="0.15">
      <c r="A41" s="9">
        <v>38839</v>
      </c>
      <c r="B41" s="10" t="s">
        <v>273</v>
      </c>
      <c r="C41" s="10" t="s">
        <v>287</v>
      </c>
      <c r="D41" s="11">
        <v>3688</v>
      </c>
      <c r="E41" s="10" t="s">
        <v>272</v>
      </c>
      <c r="F41" s="11">
        <v>2988</v>
      </c>
      <c r="G41" s="12">
        <f t="shared" si="0"/>
        <v>0.18980477223427331</v>
      </c>
      <c r="H41" s="10">
        <v>10</v>
      </c>
      <c r="I41" s="11">
        <f t="shared" si="1"/>
        <v>29880</v>
      </c>
      <c r="J41" s="10" t="s">
        <v>286</v>
      </c>
    </row>
    <row r="42" spans="1:10" x14ac:dyDescent="0.15">
      <c r="A42" s="9">
        <v>38840</v>
      </c>
      <c r="B42" s="10" t="s">
        <v>273</v>
      </c>
      <c r="C42" s="10" t="s">
        <v>281</v>
      </c>
      <c r="D42" s="11">
        <v>2988</v>
      </c>
      <c r="E42" s="10" t="s">
        <v>282</v>
      </c>
      <c r="F42" s="11">
        <v>2988</v>
      </c>
      <c r="G42" s="12">
        <f t="shared" si="0"/>
        <v>0</v>
      </c>
      <c r="H42" s="10">
        <v>6</v>
      </c>
      <c r="I42" s="11">
        <f t="shared" si="1"/>
        <v>17928</v>
      </c>
      <c r="J42" s="10" t="s">
        <v>286</v>
      </c>
    </row>
    <row r="43" spans="1:10" x14ac:dyDescent="0.15">
      <c r="A43" s="9">
        <v>38841</v>
      </c>
      <c r="B43" s="10" t="s">
        <v>273</v>
      </c>
      <c r="C43" s="10" t="s">
        <v>281</v>
      </c>
      <c r="D43" s="11">
        <v>2988</v>
      </c>
      <c r="E43" s="10" t="s">
        <v>282</v>
      </c>
      <c r="F43" s="11">
        <v>2988</v>
      </c>
      <c r="G43" s="12">
        <f t="shared" si="0"/>
        <v>0</v>
      </c>
      <c r="H43" s="10">
        <v>3</v>
      </c>
      <c r="I43" s="11">
        <f t="shared" si="1"/>
        <v>8964</v>
      </c>
      <c r="J43" s="10" t="s">
        <v>286</v>
      </c>
    </row>
    <row r="44" spans="1:10" x14ac:dyDescent="0.15">
      <c r="A44" s="9">
        <v>38842</v>
      </c>
      <c r="B44" s="10" t="s">
        <v>273</v>
      </c>
      <c r="C44" s="10" t="s">
        <v>281</v>
      </c>
      <c r="D44" s="11">
        <v>2988</v>
      </c>
      <c r="E44" s="10" t="s">
        <v>282</v>
      </c>
      <c r="F44" s="11">
        <v>2988</v>
      </c>
      <c r="G44" s="12">
        <f t="shared" si="0"/>
        <v>0</v>
      </c>
      <c r="H44" s="10">
        <v>0</v>
      </c>
      <c r="I44" s="11">
        <f t="shared" si="1"/>
        <v>0</v>
      </c>
      <c r="J44" s="10" t="s">
        <v>286</v>
      </c>
    </row>
    <row r="45" spans="1:10" x14ac:dyDescent="0.15">
      <c r="A45" s="9">
        <v>38843</v>
      </c>
      <c r="B45" s="10" t="s">
        <v>273</v>
      </c>
      <c r="C45" s="10" t="s">
        <v>281</v>
      </c>
      <c r="D45" s="11">
        <v>2988</v>
      </c>
      <c r="E45" s="10" t="s">
        <v>282</v>
      </c>
      <c r="F45" s="11">
        <v>2988</v>
      </c>
      <c r="G45" s="12">
        <f t="shared" si="0"/>
        <v>0</v>
      </c>
      <c r="H45" s="10">
        <v>2</v>
      </c>
      <c r="I45" s="11">
        <f t="shared" si="1"/>
        <v>5976</v>
      </c>
      <c r="J45" s="10" t="s">
        <v>286</v>
      </c>
    </row>
    <row r="46" spans="1:10" x14ac:dyDescent="0.15">
      <c r="A46" s="9">
        <v>38844</v>
      </c>
      <c r="B46" s="10" t="s">
        <v>273</v>
      </c>
      <c r="C46" s="10" t="s">
        <v>281</v>
      </c>
      <c r="D46" s="11">
        <v>2988</v>
      </c>
      <c r="E46" s="10" t="s">
        <v>282</v>
      </c>
      <c r="F46" s="11">
        <v>2988</v>
      </c>
      <c r="G46" s="12">
        <f t="shared" si="0"/>
        <v>0</v>
      </c>
      <c r="H46" s="10">
        <v>0</v>
      </c>
      <c r="I46" s="11">
        <f t="shared" si="1"/>
        <v>0</v>
      </c>
      <c r="J46" s="10" t="s">
        <v>286</v>
      </c>
    </row>
    <row r="47" spans="1:10" x14ac:dyDescent="0.15">
      <c r="A47" s="9">
        <v>38838</v>
      </c>
      <c r="B47" s="10" t="s">
        <v>273</v>
      </c>
      <c r="C47" s="10" t="s">
        <v>287</v>
      </c>
      <c r="D47" s="11">
        <v>3688</v>
      </c>
      <c r="E47" s="10" t="s">
        <v>272</v>
      </c>
      <c r="F47" s="11">
        <v>2988</v>
      </c>
      <c r="G47" s="12">
        <f t="shared" si="0"/>
        <v>0.18980477223427331</v>
      </c>
      <c r="H47" s="10">
        <v>4</v>
      </c>
      <c r="I47" s="11">
        <f t="shared" si="1"/>
        <v>11952</v>
      </c>
      <c r="J47" s="10" t="s">
        <v>288</v>
      </c>
    </row>
    <row r="48" spans="1:10" x14ac:dyDescent="0.15">
      <c r="A48" s="9">
        <v>38840</v>
      </c>
      <c r="B48" s="10" t="s">
        <v>273</v>
      </c>
      <c r="C48" s="10" t="s">
        <v>287</v>
      </c>
      <c r="D48" s="11">
        <v>3688</v>
      </c>
      <c r="E48" s="10" t="s">
        <v>272</v>
      </c>
      <c r="F48" s="11">
        <v>2988</v>
      </c>
      <c r="G48" s="12">
        <f t="shared" si="0"/>
        <v>0.18980477223427331</v>
      </c>
      <c r="H48" s="10">
        <v>15</v>
      </c>
      <c r="I48" s="11">
        <f t="shared" si="1"/>
        <v>44820</v>
      </c>
      <c r="J48" s="10" t="s">
        <v>288</v>
      </c>
    </row>
    <row r="49" spans="1:10" x14ac:dyDescent="0.15">
      <c r="A49" s="9">
        <v>38841</v>
      </c>
      <c r="B49" s="10" t="s">
        <v>273</v>
      </c>
      <c r="C49" s="10" t="s">
        <v>287</v>
      </c>
      <c r="D49" s="11">
        <v>3688</v>
      </c>
      <c r="E49" s="10" t="s">
        <v>272</v>
      </c>
      <c r="F49" s="11">
        <v>2988</v>
      </c>
      <c r="G49" s="12">
        <f t="shared" si="0"/>
        <v>0.18980477223427331</v>
      </c>
      <c r="H49" s="10">
        <v>10</v>
      </c>
      <c r="I49" s="11">
        <f t="shared" si="1"/>
        <v>29880</v>
      </c>
      <c r="J49" s="10" t="s">
        <v>288</v>
      </c>
    </row>
    <row r="50" spans="1:10" x14ac:dyDescent="0.15">
      <c r="A50" s="9">
        <v>38842</v>
      </c>
      <c r="B50" s="10" t="s">
        <v>273</v>
      </c>
      <c r="C50" s="10" t="s">
        <v>287</v>
      </c>
      <c r="D50" s="11">
        <v>3688</v>
      </c>
      <c r="E50" s="10" t="s">
        <v>272</v>
      </c>
      <c r="F50" s="11">
        <v>2988</v>
      </c>
      <c r="G50" s="12">
        <f t="shared" si="0"/>
        <v>0.18980477223427331</v>
      </c>
      <c r="H50" s="10">
        <v>6</v>
      </c>
      <c r="I50" s="11">
        <f t="shared" si="1"/>
        <v>17928</v>
      </c>
      <c r="J50" s="10" t="s">
        <v>288</v>
      </c>
    </row>
    <row r="51" spans="1:10" x14ac:dyDescent="0.15">
      <c r="A51" s="9">
        <v>38843</v>
      </c>
      <c r="B51" s="10" t="s">
        <v>273</v>
      </c>
      <c r="C51" s="10" t="s">
        <v>287</v>
      </c>
      <c r="D51" s="11">
        <v>3688</v>
      </c>
      <c r="E51" s="10" t="s">
        <v>272</v>
      </c>
      <c r="F51" s="11">
        <v>2988</v>
      </c>
      <c r="G51" s="12">
        <f t="shared" si="0"/>
        <v>0.18980477223427331</v>
      </c>
      <c r="H51" s="10">
        <v>2</v>
      </c>
      <c r="I51" s="11">
        <f t="shared" si="1"/>
        <v>5976</v>
      </c>
      <c r="J51" s="10" t="s">
        <v>288</v>
      </c>
    </row>
    <row r="52" spans="1:10" x14ac:dyDescent="0.15">
      <c r="A52" s="9">
        <v>38844</v>
      </c>
      <c r="B52" s="10" t="s">
        <v>273</v>
      </c>
      <c r="C52" s="10" t="s">
        <v>287</v>
      </c>
      <c r="D52" s="11">
        <v>3688</v>
      </c>
      <c r="E52" s="10" t="s">
        <v>272</v>
      </c>
      <c r="F52" s="11">
        <v>2988</v>
      </c>
      <c r="G52" s="12">
        <f t="shared" si="0"/>
        <v>0.18980477223427331</v>
      </c>
      <c r="H52" s="10">
        <v>0</v>
      </c>
      <c r="I52" s="11">
        <f t="shared" si="1"/>
        <v>0</v>
      </c>
      <c r="J52" s="10" t="s">
        <v>288</v>
      </c>
    </row>
    <row r="53" spans="1:10" x14ac:dyDescent="0.15">
      <c r="A53" s="9">
        <v>38838</v>
      </c>
      <c r="B53" s="10" t="s">
        <v>273</v>
      </c>
      <c r="C53" s="10" t="s">
        <v>274</v>
      </c>
      <c r="D53" s="11">
        <v>3188</v>
      </c>
      <c r="E53" s="10" t="s">
        <v>272</v>
      </c>
      <c r="F53" s="11">
        <v>2888</v>
      </c>
      <c r="G53" s="12">
        <f t="shared" si="0"/>
        <v>9.4102885821831864E-2</v>
      </c>
      <c r="H53" s="10">
        <v>3</v>
      </c>
      <c r="I53" s="11">
        <f t="shared" si="1"/>
        <v>8664</v>
      </c>
      <c r="J53" s="10" t="s">
        <v>289</v>
      </c>
    </row>
    <row r="54" spans="1:10" x14ac:dyDescent="0.15">
      <c r="A54" s="9">
        <v>38840</v>
      </c>
      <c r="B54" s="10" t="s">
        <v>273</v>
      </c>
      <c r="C54" s="10" t="s">
        <v>274</v>
      </c>
      <c r="D54" s="11">
        <v>3188</v>
      </c>
      <c r="E54" s="10" t="s">
        <v>272</v>
      </c>
      <c r="F54" s="11">
        <v>2888</v>
      </c>
      <c r="G54" s="12">
        <f t="shared" si="0"/>
        <v>9.4102885821831864E-2</v>
      </c>
      <c r="H54" s="10">
        <v>12</v>
      </c>
      <c r="I54" s="11">
        <f t="shared" si="1"/>
        <v>34656</v>
      </c>
      <c r="J54" s="10" t="s">
        <v>289</v>
      </c>
    </row>
    <row r="55" spans="1:10" x14ac:dyDescent="0.15">
      <c r="A55" s="9">
        <v>38841</v>
      </c>
      <c r="B55" s="10" t="s">
        <v>273</v>
      </c>
      <c r="C55" s="10" t="s">
        <v>274</v>
      </c>
      <c r="D55" s="11">
        <v>3188</v>
      </c>
      <c r="E55" s="10" t="s">
        <v>272</v>
      </c>
      <c r="F55" s="11">
        <v>2888</v>
      </c>
      <c r="G55" s="12">
        <f t="shared" si="0"/>
        <v>9.4102885821831864E-2</v>
      </c>
      <c r="H55" s="10">
        <v>8</v>
      </c>
      <c r="I55" s="11">
        <f t="shared" si="1"/>
        <v>23104</v>
      </c>
      <c r="J55" s="10" t="s">
        <v>289</v>
      </c>
    </row>
    <row r="56" spans="1:10" x14ac:dyDescent="0.15">
      <c r="A56" s="9">
        <v>38842</v>
      </c>
      <c r="B56" s="10" t="s">
        <v>273</v>
      </c>
      <c r="C56" s="10" t="s">
        <v>274</v>
      </c>
      <c r="D56" s="11">
        <v>3188</v>
      </c>
      <c r="E56" s="10" t="s">
        <v>272</v>
      </c>
      <c r="F56" s="11">
        <v>2888</v>
      </c>
      <c r="G56" s="12">
        <f t="shared" si="0"/>
        <v>9.4102885821831864E-2</v>
      </c>
      <c r="H56" s="10">
        <v>5</v>
      </c>
      <c r="I56" s="11">
        <f t="shared" si="1"/>
        <v>14440</v>
      </c>
      <c r="J56" s="10" t="s">
        <v>289</v>
      </c>
    </row>
    <row r="57" spans="1:10" x14ac:dyDescent="0.15">
      <c r="A57" s="9">
        <v>38843</v>
      </c>
      <c r="B57" s="10" t="s">
        <v>273</v>
      </c>
      <c r="C57" s="10" t="s">
        <v>274</v>
      </c>
      <c r="D57" s="11">
        <v>3188</v>
      </c>
      <c r="E57" s="10" t="s">
        <v>272</v>
      </c>
      <c r="F57" s="11">
        <v>2888</v>
      </c>
      <c r="G57" s="12">
        <f t="shared" si="0"/>
        <v>9.4102885821831864E-2</v>
      </c>
      <c r="H57" s="10">
        <v>3</v>
      </c>
      <c r="I57" s="11">
        <f t="shared" si="1"/>
        <v>8664</v>
      </c>
      <c r="J57" s="10" t="s">
        <v>289</v>
      </c>
    </row>
    <row r="58" spans="1:10" x14ac:dyDescent="0.15">
      <c r="A58" s="9">
        <v>38844</v>
      </c>
      <c r="B58" s="10" t="s">
        <v>273</v>
      </c>
      <c r="C58" s="10" t="s">
        <v>274</v>
      </c>
      <c r="D58" s="11">
        <v>3188</v>
      </c>
      <c r="E58" s="10" t="s">
        <v>272</v>
      </c>
      <c r="F58" s="11">
        <v>2888</v>
      </c>
      <c r="G58" s="12">
        <f t="shared" si="0"/>
        <v>9.4102885821831864E-2</v>
      </c>
      <c r="H58" s="10">
        <v>4</v>
      </c>
      <c r="I58" s="11">
        <f t="shared" si="1"/>
        <v>11552</v>
      </c>
      <c r="J58" s="10" t="s">
        <v>289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按年统计</vt:lpstr>
      <vt:lpstr>按月统计</vt:lpstr>
      <vt:lpstr>销售清单</vt:lpstr>
    </vt:vector>
  </TitlesOfParts>
  <Manager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dc:description/>
  <cp:lastModifiedBy>wuyou</cp:lastModifiedBy>
  <dcterms:created xsi:type="dcterms:W3CDTF">2016-03-02T14:02:05Z</dcterms:created>
  <dcterms:modified xsi:type="dcterms:W3CDTF">2019-10-23T07:14:38Z</dcterms:modified>
</cp:coreProperties>
</file>